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ção" sheetId="1" state="visible" r:id="rId3"/>
    <sheet name="Escalonador" sheetId="2" state="visible" r:id="rId4"/>
    <sheet name="Corridas" sheetId="3" state="visible" r:id="rId5"/>
    <sheet name="Configuração" sheetId="4" state="visible" r:id="rId6"/>
    <sheet name="Leia-me" sheetId="5" state="visible" r:id="rId7"/>
  </sheets>
  <definedNames>
    <definedName function="false" hidden="true" localSheetId="2" name="_xlnm._FilterDatabase" vbProcedure="false">Corridas!$A$1:$T$181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<sst xmlns="http://schemas.openxmlformats.org/spreadsheetml/2006/main" count="1347" uniqueCount="148">
  <si>
    <t xml:space="preserve">Hyper-V (Tipo 1, root) vs. VMware Workstation (Tipo 2) — N = 10</t>
  </si>
  <si>
    <t xml:space="preserve">Subsistema</t>
  </si>
  <si>
    <t xml:space="preserve">Teste</t>
  </si>
  <si>
    <t xml:space="preserve">Métrica</t>
  </si>
  <si>
    <t xml:space="preserve">Unidade</t>
  </si>
  <si>
    <t xml:space="preserve">Sentido</t>
  </si>
  <si>
    <t xml:space="preserve">Hyper-V média</t>
  </si>
  <si>
    <t xml:space="preserve">Hyper-V σ</t>
  </si>
  <si>
    <t xml:space="preserve">VMware média</t>
  </si>
  <si>
    <t xml:space="preserve">VMware σ</t>
  </si>
  <si>
    <t xml:space="preserve">Δ%</t>
  </si>
  <si>
    <t xml:space="preserve">p (Welch)</t>
  </si>
  <si>
    <t xml:space="preserve">Melhor</t>
  </si>
  <si>
    <t xml:space="preserve">CPU</t>
  </si>
  <si>
    <t xml:space="preserve">sysbench cpu, 1 thread</t>
  </si>
  <si>
    <t xml:space="preserve">Eventos/s</t>
  </si>
  <si>
    <t xml:space="preserve">eventos/s</t>
  </si>
  <si>
    <t xml:space="preserve">maior</t>
  </si>
  <si>
    <t xml:space="preserve">sysbench cpu, 2 threads</t>
  </si>
  <si>
    <t xml:space="preserve">Latência p95</t>
  </si>
  <si>
    <t xml:space="preserve">ms</t>
  </si>
  <si>
    <t xml:space="preserve">menor</t>
  </si>
  <si>
    <t xml:space="preserve">Memória</t>
  </si>
  <si>
    <t xml:space="preserve">Escrita sequencial, bloco 1 KiB</t>
  </si>
  <si>
    <t xml:space="preserve">Débito</t>
  </si>
  <si>
    <t xml:space="preserve">MiB/s</t>
  </si>
  <si>
    <t xml:space="preserve">Leitura sequencial, bloco 1 MiB</t>
  </si>
  <si>
    <t xml:space="preserve">Escrita sequencial, bloco 1 MiB</t>
  </si>
  <si>
    <t xml:space="preserve">Leitura aleatória, buffer 256 MiB</t>
  </si>
  <si>
    <t xml:space="preserve">Disco</t>
  </si>
  <si>
    <t xml:space="preserve">Leitura aleatória 4K, Q=1</t>
  </si>
  <si>
    <t xml:space="preserve">Leitura: IOPS</t>
  </si>
  <si>
    <t xml:space="preserve">IOPS</t>
  </si>
  <si>
    <t xml:space="preserve">Leitura: latência média</t>
  </si>
  <si>
    <t xml:space="preserve">µs</t>
  </si>
  <si>
    <t xml:space="preserve">Leitura: latência p99</t>
  </si>
  <si>
    <t xml:space="preserve">Escrita aleatória 4K, Q=1</t>
  </si>
  <si>
    <t xml:space="preserve">Escrita: IOPS</t>
  </si>
  <si>
    <t xml:space="preserve">Escrita: latência média</t>
  </si>
  <si>
    <t xml:space="preserve">Mista 50/50 aleatória 4K, Q=1</t>
  </si>
  <si>
    <t xml:space="preserve">Total: IOPS</t>
  </si>
  <si>
    <t xml:space="preserve">Mista 50/50 aleatória 4K, Q=32</t>
  </si>
  <si>
    <t xml:space="preserve">Leitura sequencial 1M, Q=16</t>
  </si>
  <si>
    <t xml:space="preserve">Leitura: débito</t>
  </si>
  <si>
    <t xml:space="preserve">Escrita sequencial 1M, Q=16</t>
  </si>
  <si>
    <t xml:space="preserve">Escrita: débito</t>
  </si>
  <si>
    <t xml:space="preserve">Rede</t>
  </si>
  <si>
    <t xml:space="preserve">TCP convidado→anfitrião</t>
  </si>
  <si>
    <t xml:space="preserve">Mbit/s</t>
  </si>
  <si>
    <t xml:space="preserve">TCP anfitrião→convidado</t>
  </si>
  <si>
    <t xml:space="preserve">TCP convidado→anfitrião, 4 ligações</t>
  </si>
  <si>
    <t xml:space="preserve">CPU iperf3 no anfitrião</t>
  </si>
  <si>
    <t xml:space="preserve">%</t>
  </si>
  <si>
    <t xml:space="preserve">Ping (RTT)</t>
  </si>
  <si>
    <t xml:space="preserve">RTT médio</t>
  </si>
  <si>
    <t xml:space="preserve">RTT máximo</t>
  </si>
  <si>
    <t xml:space="preserve">RTT desvio (jitter)</t>
  </si>
  <si>
    <t xml:space="preserve">UDP a 1 Mbit/s</t>
  </si>
  <si>
    <t xml:space="preserve">Jitter</t>
  </si>
  <si>
    <t xml:space="preserve">UDP a 100 Mbit/s</t>
  </si>
  <si>
    <t xml:space="preserve">UDP a 1 Gbit/s</t>
  </si>
  <si>
    <t xml:space="preserve">Perda de pacotes</t>
  </si>
  <si>
    <t xml:space="preserve">Verde: ligação à folha Corridas. Δ%, p e Melhor: fórmulas. n.s. = não significativo (p ≥ 0,05). Sentido: se é melhor um valor maior ou menor.</t>
  </si>
  <si>
    <t xml:space="preserve">Hyper-V: escalonador root (predefinido no Windows 11) vs. core (predefinido no Windows Server) — mesma VM, 2 vCPU sem SMT</t>
  </si>
  <si>
    <t xml:space="preserve">Root média</t>
  </si>
  <si>
    <t xml:space="preserve">Root σ</t>
  </si>
  <si>
    <t xml:space="preserve">Core média</t>
  </si>
  <si>
    <t xml:space="preserve">Core σ</t>
  </si>
  <si>
    <t xml:space="preserve">Δ% = (core − root) / root.</t>
  </si>
  <si>
    <t xml:space="preserve">Cenário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</si>
  <si>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</si>
  <si>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</si>
  <si>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</si>
  <si>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</si>
  <si>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</si>
  <si>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</si>
  <si>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</si>
  <si>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</si>
  <si>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</si>
  <si>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</si>
  <si>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Média</t>
  </si>
  <si>
    <t xml:space="preserve">Desvio-padrão</t>
  </si>
  <si>
    <t xml:space="preserve">CV</t>
  </si>
  <si>
    <t xml:space="preserve">IC95 (±)</t>
  </si>
  <si>
    <t xml:space="preserve">Hyper-V (root)</t>
  </si>
  <si>
    <t xml:space="preserve">maior é melhor</t>
  </si>
  <si>
    <t xml:space="preserve">Hyper-V (core)</t>
  </si>
  <si>
    <t xml:space="preserve">VMware</t>
  </si>
  <si>
    <t xml:space="preserve">Latência média</t>
  </si>
  <si>
    <t xml:space="preserve">menor é melhor</t>
  </si>
  <si>
    <t xml:space="preserve">Latência máxima</t>
  </si>
  <si>
    <t xml:space="preserve">Operações/s</t>
  </si>
  <si>
    <t xml:space="preserve">ops/s</t>
  </si>
  <si>
    <t xml:space="preserve">Escrita: latência p99</t>
  </si>
  <si>
    <t xml:space="preserve">Total: débito</t>
  </si>
  <si>
    <t xml:space="preserve">Retransmissões</t>
  </si>
  <si>
    <t xml:space="preserve">n.º</t>
  </si>
  <si>
    <t xml:space="preserve">CPU iperf3 no convidado</t>
  </si>
  <si>
    <t xml:space="preserve">RTT mínimo</t>
  </si>
  <si>
    <t xml:space="preserve">Valores a azul: medições originais (dados_brutos). Restantes colunas: fórmulas.</t>
  </si>
  <si>
    <t xml:space="preserve">Configuração experimental</t>
  </si>
  <si>
    <t xml:space="preserve">Componente</t>
  </si>
  <si>
    <t xml:space="preserve">Hyper-V (Tipo 1)</t>
  </si>
  <si>
    <t xml:space="preserve">VMware (Tipo 2)</t>
  </si>
  <si>
    <t xml:space="preserve">Anfitrião</t>
  </si>
  <si>
    <t xml:space="preserve">HP, Intel Core i5-9300H (4 núcleos / 8 threads, 2,4 GHz), 16 GB DDR4-2666, SSD NVMe Samsung PM981 1 TB</t>
  </si>
  <si>
    <t xml:space="preserve">Sistema operativo anfitrião</t>
  </si>
  <si>
    <t xml:space="preserve">Windows 11 Home 25H2 (build 26200), plano "Elevado desempenho", ligado à corrente</t>
  </si>
  <si>
    <t xml:space="preserve">Modo do anfitrião</t>
  </si>
  <si>
    <t xml:space="preserve">Hipervisor ativo (hypervisorlaunchtype auto), escalonador root (0x4)</t>
  </si>
  <si>
    <t xml:space="preserve">Hipervisor desligado (hypervisorlaunchtype off), Monitor Mode: CPL0</t>
  </si>
  <si>
    <t xml:space="preserve">Versão</t>
  </si>
  <si>
    <t xml:space="preserve">Hyper-V, configuração de VM 12.0, Geração 2</t>
  </si>
  <si>
    <t xml:space="preserve">VMware Workstation 17.6.4, hardware v21</t>
  </si>
  <si>
    <t xml:space="preserve">Convidado</t>
  </si>
  <si>
    <t xml:space="preserve">Ubuntu Server 26.04.1 LTS, kernel 7.0.0-38</t>
  </si>
  <si>
    <t xml:space="preserve">vCPU</t>
  </si>
  <si>
    <t xml:space="preserve">2, sem SMT (1 socket × 2 núcleos × 1 thread; HwThreadCountPerCore = 1)</t>
  </si>
  <si>
    <t xml:space="preserve">2, sem SMT (2 sockets × 1 núcleo × 1 thread)</t>
  </si>
  <si>
    <t xml:space="preserve">4096 MB, memória dinâmica desativada</t>
  </si>
  <si>
    <t xml:space="preserve">4096 MB</t>
  </si>
  <si>
    <t xml:space="preserve">25 GB .vhdx dinâmico, controlador SCSI sintético (VMBus)</t>
  </si>
  <si>
    <t xml:space="preserve">25 GB .vmdk esparso, controlador LSI Logic (emulado)</t>
  </si>
  <si>
    <t xml:space="preserve">Escalonador de E/S no convidado</t>
  </si>
  <si>
    <t xml:space="preserve">none</t>
  </si>
  <si>
    <t xml:space="preserve">mq-deadline</t>
  </si>
  <si>
    <t xml:space="preserve">hv_netvsc (paravirtualizada), Default Switch</t>
  </si>
  <si>
    <t xml:space="preserve">e1000 (emulada), NAT (VMnet8)</t>
  </si>
  <si>
    <t xml:space="preserve">Sistema de ficheiros</t>
  </si>
  <si>
    <t xml:space="preserve">ext4 sobre LVM</t>
  </si>
  <si>
    <t xml:space="preserve">Ferramentas</t>
  </si>
  <si>
    <t xml:space="preserve">sysbench 1.0.20, fio 3.41 (libaio, direct=1), iperf3 3.20 (convidado) / 3.22 (anfitrião)</t>
  </si>
  <si>
    <t xml:space="preserve">idem</t>
  </si>
  <si>
    <t xml:space="preserve">Hyper-V vs. VMware: Overhead da Virtualização — Resultados experimentais</t>
  </si>
  <si>
    <t xml:space="preserve">Unidade Curricular de Virtualização e Centros de Dados, Universidade da Beira Interior</t>
  </si>
  <si>
    <t xml:space="preserve">Folhas deste ficheiro</t>
  </si>
  <si>
    <t xml:space="preserve">Comparação — Hyper-V (Tipo 1, escalonador root) vs. VMware Workstation (Tipo 2): médias, Δ%, teste t de Welch (p) e cenário melhor.</t>
  </si>
  <si>
    <t xml:space="preserve">Escalonador — Hyper-V com escalonador root vs. core (mesma VM e topologia), teste de CPU.</t>
  </si>
  <si>
    <t xml:space="preserve">Corridas — valores das 10 repetições de cada métrica, com média, desvio-padrão amostral, CV e intervalo de confiança a 95%.</t>
  </si>
  <si>
    <t xml:space="preserve">Configuração — anfitrião, máquinas virtuais e ferramentas.</t>
  </si>
  <si>
    <t xml:space="preserve">Metodologia</t>
  </si>
  <si>
    <t xml:space="preserve">N = 10 repetições por teste, intercaladas, com uma corrida de aquecimento descartada (perfil "medio": sysbench 10 s; fio 3 s + 15 s; iperf3 10 s).</t>
  </si>
  <si>
    <t xml:space="preserve">Desvio-padrão amostral corrigido (STDEV); IC95 = t(0,975; N−1) × σ / √N; teste t de Welch bilateral (TTEST tipo 3); significativo se p &lt; 0,05.</t>
  </si>
  <si>
    <t xml:space="preserve">Δ% = (VMware − Hyper-V) / Hyper-V. Em métricas "maior é melhor", Δ% &lt; 0 indica pior desempenho do VMware; em "menor é melhor", Δ% &gt; 0.</t>
  </si>
  <si>
    <t xml:space="preserve">Todos os valores calculados (média, σ, CV, IC95, Δ%, p) são fórmulas sobre a folha Corridas.</t>
  </si>
  <si>
    <t xml:space="preserve">Origem dos dados</t>
  </si>
  <si>
    <t xml:space="preserve">Pasta dados_brutos/: saídas originais do sysbench (.txt), fio (.json), iperf3 (.json) e ping (.txt), e ambiente.txt de cada bateria.</t>
  </si>
  <si>
    <t xml:space="preserve">Gerados por 4_Scripts/ubuntu_convidado/bench.sh, rede.sh (TCP e ping) e rede_udp.sh (UDP); convertidos para CSV por parse_resultados.py.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</si>
</sst>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+0.0%;\-0.0%;0.0%"/>
    <numFmt numFmtId="167" formatCode="0.00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E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E9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5E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5E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n">
        <f aca="false">Corridas!Q2</f>
        <v>295.212</v>
      </c>
      <c r="G4" s="4" t="n">
        <f aca="false">Corridas!R2</f>
        <v>2.85398279213064</v>
      </c>
      <c r="H4" s="4" t="n">
        <f aca="false">Corridas!Q4</f>
        <v>287.865</v>
      </c>
      <c r="I4" s="4" t="n">
        <f aca="false">Corridas!R4</f>
        <v>18.3304229508093</v>
      </c>
      <c r="J4" s="5" t="n">
        <f aca="false">(H4-F4)/F4</f>
        <v>-0.0248871997073289</v>
      </c>
      <c r="K4" s="6" t="n">
        <f aca="false">TTEST(Corridas!G2:P2,Corridas!G4:P4,2,3)</f>
        <v>0.240580401043538</v>
      </c>
      <c r="L4" s="7" t="str">
        <f aca="false">IF(K4&gt;=0.05,"n.s.",IF((H4&gt;F4)=(E4="maior"),"VMware","Hyper-V (root)"))</f>
        <v>n.s.</v>
      </c>
    </row>
    <row r="5" customFormat="false" ht="15" hidden="false" customHeight="false" outlineLevel="0" collapsed="false">
      <c r="A5" s="3" t="s">
        <v>13</v>
      </c>
      <c r="B5" s="3" t="s">
        <v>18</v>
      </c>
      <c r="C5" s="3" t="s">
        <v>15</v>
      </c>
      <c r="D5" s="3" t="s">
        <v>16</v>
      </c>
      <c r="E5" s="3" t="s">
        <v>17</v>
      </c>
      <c r="F5" s="4" t="n">
        <f aca="false">Corridas!Q14</f>
        <v>552.772</v>
      </c>
      <c r="G5" s="4" t="n">
        <f aca="false">Corridas!R14</f>
        <v>9.47906793355177</v>
      </c>
      <c r="H5" s="4" t="n">
        <f aca="false">Corridas!Q16</f>
        <v>536.497</v>
      </c>
      <c r="I5" s="4" t="n">
        <f aca="false">Corridas!R16</f>
        <v>22.2897993859673</v>
      </c>
      <c r="J5" s="5" t="n">
        <f aca="false">(H5-F5)/F5</f>
        <v>-0.0294425187961763</v>
      </c>
      <c r="K5" s="6" t="n">
        <f aca="false">TTEST(Corridas!G14:P14,Corridas!G16:P16,2,3)</f>
        <v>0.0547838324936118</v>
      </c>
      <c r="L5" s="7" t="str">
        <f aca="false">IF(K5&gt;=0.05,"n.s.",IF((H5&gt;F5)=(E5="maior"),"VMware","Hyper-V (root)"))</f>
        <v>n.s.</v>
      </c>
    </row>
    <row r="6" customFormat="false" ht="15" hidden="false" customHeight="false" outlineLevel="0" collapsed="false">
      <c r="A6" s="3" t="s">
        <v>13</v>
      </c>
      <c r="B6" s="3" t="s">
        <v>18</v>
      </c>
      <c r="C6" s="3" t="s">
        <v>19</v>
      </c>
      <c r="D6" s="3" t="s">
        <v>20</v>
      </c>
      <c r="E6" s="3" t="s">
        <v>21</v>
      </c>
      <c r="F6" s="4" t="n">
        <f aca="false">Corridas!Q20</f>
        <v>4.442</v>
      </c>
      <c r="G6" s="4" t="n">
        <f aca="false">Corridas!R20</f>
        <v>0.0559364719024081</v>
      </c>
      <c r="H6" s="4" t="n">
        <f aca="false">Corridas!Q22</f>
        <v>4.576</v>
      </c>
      <c r="I6" s="4" t="n">
        <f aca="false">Corridas!R22</f>
        <v>0.251890628823084</v>
      </c>
      <c r="J6" s="5" t="n">
        <f aca="false">(H6-F6)/F6</f>
        <v>0.030166591625394</v>
      </c>
      <c r="K6" s="6" t="n">
        <f aca="false">TTEST(Corridas!G20:P20,Corridas!G22:P22,2,3)</f>
        <v>0.131922334052979</v>
      </c>
      <c r="L6" s="7" t="str">
        <f aca="false">IF(K6&gt;=0.05,"n.s.",IF((H6&gt;F6)=(E6="maior"),"VMware","Hyper-V (root)"))</f>
        <v>n.s.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25</v>
      </c>
      <c r="E7" s="3" t="s">
        <v>17</v>
      </c>
      <c r="F7" s="4" t="n">
        <f aca="false">Corridas!Q28</f>
        <v>4225.663</v>
      </c>
      <c r="G7" s="4" t="n">
        <f aca="false">Corridas!R28</f>
        <v>266.540515829937</v>
      </c>
      <c r="H7" s="4" t="n">
        <f aca="false">Corridas!Q29</f>
        <v>4345.613</v>
      </c>
      <c r="I7" s="4" t="n">
        <f aca="false">Corridas!R29</f>
        <v>163.435076205949</v>
      </c>
      <c r="J7" s="5" t="n">
        <f aca="false">(H7-F7)/F7</f>
        <v>0.0283860781136593</v>
      </c>
      <c r="K7" s="6" t="n">
        <f aca="false">TTEST(Corridas!G28:P28,Corridas!G29:P29,2,3)</f>
        <v>0.243901428352234</v>
      </c>
      <c r="L7" s="7" t="str">
        <f aca="false">IF(K7&gt;=0.05,"n.s.",IF((H7&gt;F7)=(E7="maior"),"VMware","Hyper-V (root)"))</f>
        <v>n.s.</v>
      </c>
    </row>
    <row r="8" customFormat="false" ht="15" hidden="false" customHeight="false" outlineLevel="0" collapsed="false">
      <c r="A8" s="3" t="s">
        <v>22</v>
      </c>
      <c r="B8" s="3" t="s">
        <v>26</v>
      </c>
      <c r="C8" s="3" t="s">
        <v>24</v>
      </c>
      <c r="D8" s="3" t="s">
        <v>25</v>
      </c>
      <c r="E8" s="3" t="s">
        <v>17</v>
      </c>
      <c r="F8" s="4" t="n">
        <f aca="false">Corridas!Q38</f>
        <v>29139.954</v>
      </c>
      <c r="G8" s="4" t="n">
        <f aca="false">Corridas!R38</f>
        <v>859.045544080432</v>
      </c>
      <c r="H8" s="4" t="n">
        <f aca="false">Corridas!Q39</f>
        <v>28839.975</v>
      </c>
      <c r="I8" s="4" t="n">
        <f aca="false">Corridas!R39</f>
        <v>2122.28580630126</v>
      </c>
      <c r="J8" s="5" t="n">
        <f aca="false">(H8-F8)/F8</f>
        <v>-0.0102944225649773</v>
      </c>
      <c r="K8" s="6" t="n">
        <f aca="false">TTEST(Corridas!G38:P38,Corridas!G39:P39,2,3)</f>
        <v>0.686024629666511</v>
      </c>
      <c r="L8" s="7" t="str">
        <f aca="false">IF(K8&gt;=0.05,"n.s.",IF((H8&gt;F8)=(E8="maior"),"VMware","Hyper-V (root)"))</f>
        <v>n.s.</v>
      </c>
    </row>
    <row r="9" customFormat="false" ht="15" hidden="false" customHeight="false" outlineLevel="0" collapsed="false">
      <c r="A9" s="3" t="s">
        <v>22</v>
      </c>
      <c r="B9" s="3" t="s">
        <v>27</v>
      </c>
      <c r="C9" s="3" t="s">
        <v>24</v>
      </c>
      <c r="D9" s="3" t="s">
        <v>25</v>
      </c>
      <c r="E9" s="3" t="s">
        <v>17</v>
      </c>
      <c r="F9" s="4" t="n">
        <f aca="false">Corridas!Q48</f>
        <v>22499.154</v>
      </c>
      <c r="G9" s="4" t="n">
        <f aca="false">Corridas!R48</f>
        <v>1180.88735846491</v>
      </c>
      <c r="H9" s="4" t="n">
        <f aca="false">Corridas!Q49</f>
        <v>22193.857</v>
      </c>
      <c r="I9" s="4" t="n">
        <f aca="false">Corridas!R49</f>
        <v>2835.2511406656</v>
      </c>
      <c r="J9" s="5" t="n">
        <f aca="false">(H9-F9)/F9</f>
        <v>-0.0135692657599482</v>
      </c>
      <c r="K9" s="6" t="n">
        <f aca="false">TTEST(Corridas!G48:P48,Corridas!G49:P49,2,3)</f>
        <v>0.758649737885374</v>
      </c>
      <c r="L9" s="7" t="str">
        <f aca="false">IF(K9&gt;=0.05,"n.s.",IF((H9&gt;F9)=(E9="maior"),"VMware","Hyper-V (root)"))</f>
        <v>n.s.</v>
      </c>
    </row>
    <row r="10" customFormat="false" ht="15" hidden="false" customHeight="false" outlineLevel="0" collapsed="false">
      <c r="A10" s="3" t="s">
        <v>22</v>
      </c>
      <c r="B10" s="3" t="s">
        <v>28</v>
      </c>
      <c r="C10" s="3" t="s">
        <v>24</v>
      </c>
      <c r="D10" s="3" t="s">
        <v>25</v>
      </c>
      <c r="E10" s="3" t="s">
        <v>17</v>
      </c>
      <c r="F10" s="4" t="n">
        <f aca="false">Corridas!Q58</f>
        <v>607.877</v>
      </c>
      <c r="G10" s="4" t="n">
        <f aca="false">Corridas!R58</f>
        <v>33.3056338410719</v>
      </c>
      <c r="H10" s="4" t="n">
        <f aca="false">Corridas!Q59</f>
        <v>441.267</v>
      </c>
      <c r="I10" s="4" t="n">
        <f aca="false">Corridas!R59</f>
        <v>37.2142245952032</v>
      </c>
      <c r="J10" s="5" t="n">
        <f aca="false">(H10-F10)/F10</f>
        <v>-0.274085053390735</v>
      </c>
      <c r="K10" s="6" t="n">
        <f aca="false">TTEST(Corridas!G58:P58,Corridas!G59:P59,2,3)</f>
        <v>4.41964381391408E-009</v>
      </c>
      <c r="L10" s="7" t="str">
        <f aca="false">IF(K10&gt;=0.05,"n.s.",IF((H10&gt;F10)=(E10="maior"),"VMware","Hyper-V (root)"))</f>
        <v>Hyper-V (root)</v>
      </c>
    </row>
    <row r="11" customFormat="false" ht="15" hidden="false" customHeight="false" outlineLevel="0" collapsed="false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17</v>
      </c>
      <c r="F11" s="4" t="n">
        <f aca="false">Corridas!Q60</f>
        <v>3986.0142658</v>
      </c>
      <c r="G11" s="4" t="n">
        <f aca="false">Corridas!R60</f>
        <v>182.776368067579</v>
      </c>
      <c r="H11" s="4" t="n">
        <f aca="false">Corridas!Q61</f>
        <v>6668.1487902</v>
      </c>
      <c r="I11" s="4" t="n">
        <f aca="false">Corridas!R61</f>
        <v>1006.22533420776</v>
      </c>
      <c r="J11" s="5" t="n">
        <f aca="false">(H11-F11)/F11</f>
        <v>0.672886333451617</v>
      </c>
      <c r="K11" s="6" t="n">
        <f aca="false">TTEST(Corridas!G60:P60,Corridas!G61:P61,2,3)</f>
        <v>1.11525058971763E-005</v>
      </c>
      <c r="L11" s="7" t="str">
        <f aca="false">IF(K11&gt;=0.05,"n.s.",IF((H11&gt;F11)=(E11="maior"),"VMware","Hyper-V (root)"))</f>
        <v>VMware</v>
      </c>
    </row>
    <row r="12" customFormat="false" ht="15" hidden="false" customHeight="false" outlineLevel="0" collapsed="false">
      <c r="A12" s="3" t="s">
        <v>29</v>
      </c>
      <c r="B12" s="3" t="s">
        <v>30</v>
      </c>
      <c r="C12" s="3" t="s">
        <v>33</v>
      </c>
      <c r="D12" s="3" t="s">
        <v>34</v>
      </c>
      <c r="E12" s="3" t="s">
        <v>21</v>
      </c>
      <c r="F12" s="4" t="n">
        <f aca="false">Corridas!Q64</f>
        <v>248.9218854471</v>
      </c>
      <c r="G12" s="4" t="n">
        <f aca="false">Corridas!R64</f>
        <v>12.1322015057759</v>
      </c>
      <c r="H12" s="4" t="n">
        <f aca="false">Corridas!Q65</f>
        <v>150.5907587681</v>
      </c>
      <c r="I12" s="4" t="n">
        <f aca="false">Corridas!R65</f>
        <v>24.4569001924997</v>
      </c>
      <c r="J12" s="5" t="n">
        <f aca="false">(H12-F12)/F12</f>
        <v>-0.395028048668292</v>
      </c>
      <c r="K12" s="6" t="n">
        <f aca="false">TTEST(Corridas!G64:P64,Corridas!G65:P65,2,3)</f>
        <v>3.4000300167103E-008</v>
      </c>
      <c r="L12" s="7" t="str">
        <f aca="false">IF(K12&gt;=0.05,"n.s.",IF((H12&gt;F12)=(E12="maior"),"VMware","Hyper-V (root)"))</f>
        <v>VMware</v>
      </c>
    </row>
    <row r="13" customFormat="false" ht="15" hidden="false" customHeight="false" outlineLevel="0" collapsed="false">
      <c r="A13" s="3" t="s">
        <v>29</v>
      </c>
      <c r="B13" s="3" t="s">
        <v>30</v>
      </c>
      <c r="C13" s="3" t="s">
        <v>35</v>
      </c>
      <c r="D13" s="3" t="s">
        <v>34</v>
      </c>
      <c r="E13" s="3" t="s">
        <v>21</v>
      </c>
      <c r="F13" s="4" t="n">
        <f aca="false">Corridas!Q66</f>
        <v>356.352</v>
      </c>
      <c r="G13" s="4" t="n">
        <f aca="false">Corridas!R66</f>
        <v>49.3129217593568</v>
      </c>
      <c r="H13" s="4" t="n">
        <f aca="false">Corridas!Q67</f>
        <v>181.9136</v>
      </c>
      <c r="I13" s="4" t="n">
        <f aca="false">Corridas!R67</f>
        <v>70.0232875346163</v>
      </c>
      <c r="J13" s="5" t="n">
        <f aca="false">(H13-F13)/F13</f>
        <v>-0.489511494252874</v>
      </c>
      <c r="K13" s="6" t="n">
        <f aca="false">TTEST(Corridas!G66:P66,Corridas!G67:P67,2,3)</f>
        <v>7.76632145956492E-006</v>
      </c>
      <c r="L13" s="7" t="str">
        <f aca="false">IF(K13&gt;=0.05,"n.s.",IF((H13&gt;F13)=(E13="maior"),"VMware","Hyper-V (root)"))</f>
        <v>VMware</v>
      </c>
    </row>
    <row r="14" customFormat="false" ht="15" hidden="false" customHeight="false" outlineLevel="0" collapsed="false">
      <c r="A14" s="3" t="s">
        <v>29</v>
      </c>
      <c r="B14" s="3" t="s">
        <v>36</v>
      </c>
      <c r="C14" s="3" t="s">
        <v>37</v>
      </c>
      <c r="D14" s="3" t="s">
        <v>32</v>
      </c>
      <c r="E14" s="3" t="s">
        <v>17</v>
      </c>
      <c r="F14" s="4" t="n">
        <f aca="false">Corridas!Q68</f>
        <v>5393.1337911</v>
      </c>
      <c r="G14" s="4" t="n">
        <f aca="false">Corridas!R68</f>
        <v>294.841171759789</v>
      </c>
      <c r="H14" s="4" t="n">
        <f aca="false">Corridas!Q69</f>
        <v>6281.6678888</v>
      </c>
      <c r="I14" s="4" t="n">
        <f aca="false">Corridas!R69</f>
        <v>770.184559059645</v>
      </c>
      <c r="J14" s="5" t="n">
        <f aca="false">(H14-F14)/F14</f>
        <v>0.164752837981936</v>
      </c>
      <c r="K14" s="6" t="n">
        <f aca="false">TTEST(Corridas!G68:P68,Corridas!G69:P69,2,3)</f>
        <v>0.00545596068719543</v>
      </c>
      <c r="L14" s="7" t="str">
        <f aca="false">IF(K14&gt;=0.05,"n.s.",IF((H14&gt;F14)=(E14="maior"),"VMware","Hyper-V (root)"))</f>
        <v>VMware</v>
      </c>
    </row>
    <row r="15" customFormat="false" ht="15" hidden="false" customHeight="false" outlineLevel="0" collapsed="false">
      <c r="A15" s="3" t="s">
        <v>29</v>
      </c>
      <c r="B15" s="3" t="s">
        <v>36</v>
      </c>
      <c r="C15" s="3" t="s">
        <v>38</v>
      </c>
      <c r="D15" s="3" t="s">
        <v>34</v>
      </c>
      <c r="E15" s="3" t="s">
        <v>21</v>
      </c>
      <c r="F15" s="4" t="n">
        <f aca="false">Corridas!Q72</f>
        <v>183.4090831296</v>
      </c>
      <c r="G15" s="4" t="n">
        <f aca="false">Corridas!R72</f>
        <v>11.0329464077058</v>
      </c>
      <c r="H15" s="4" t="n">
        <f aca="false">Corridas!Q73</f>
        <v>158.3869617293</v>
      </c>
      <c r="I15" s="4" t="n">
        <f aca="false">Corridas!R73</f>
        <v>19.6132251015928</v>
      </c>
      <c r="J15" s="5" t="n">
        <f aca="false">(H15-F15)/F15</f>
        <v>-0.136427929158879</v>
      </c>
      <c r="K15" s="6" t="n">
        <f aca="false">TTEST(Corridas!G72:P72,Corridas!G73:P73,2,3)</f>
        <v>0.00336468011943307</v>
      </c>
      <c r="L15" s="7" t="str">
        <f aca="false">IF(K15&gt;=0.05,"n.s.",IF((H15&gt;F15)=(E15="maior"),"VMware","Hyper-V (root)"))</f>
        <v>VMware</v>
      </c>
    </row>
    <row r="16" customFormat="false" ht="15" hidden="false" customHeight="false" outlineLevel="0" collapsed="false">
      <c r="A16" s="3" t="s">
        <v>29</v>
      </c>
      <c r="B16" s="3" t="s">
        <v>39</v>
      </c>
      <c r="C16" s="3" t="s">
        <v>40</v>
      </c>
      <c r="D16" s="3" t="s">
        <v>32</v>
      </c>
      <c r="E16" s="3" t="s">
        <v>17</v>
      </c>
      <c r="F16" s="4" t="n">
        <f aca="false">Corridas!Q92</f>
        <v>4656.0895942</v>
      </c>
      <c r="G16" s="4" t="n">
        <f aca="false">Corridas!R92</f>
        <v>206.346822099791</v>
      </c>
      <c r="H16" s="4" t="n">
        <f aca="false">Corridas!Q93</f>
        <v>6182.90114</v>
      </c>
      <c r="I16" s="4" t="n">
        <f aca="false">Corridas!R93</f>
        <v>970.8112135927</v>
      </c>
      <c r="J16" s="5" t="n">
        <f aca="false">(H16-F16)/F16</f>
        <v>0.327917131943062</v>
      </c>
      <c r="K16" s="6" t="n">
        <f aca="false">TTEST(Corridas!G92:P92,Corridas!G93:P93,2,3)</f>
        <v>0.000693863599953132</v>
      </c>
      <c r="L16" s="7" t="str">
        <f aca="false">IF(K16&gt;=0.05,"n.s.",IF((H16&gt;F16)=(E16="maior"),"VMware","Hyper-V (root)"))</f>
        <v>VMware</v>
      </c>
    </row>
    <row r="17" customFormat="false" ht="15" hidden="false" customHeight="false" outlineLevel="0" collapsed="false">
      <c r="A17" s="3" t="s">
        <v>29</v>
      </c>
      <c r="B17" s="3" t="s">
        <v>41</v>
      </c>
      <c r="C17" s="3" t="s">
        <v>40</v>
      </c>
      <c r="D17" s="3" t="s">
        <v>32</v>
      </c>
      <c r="E17" s="3" t="s">
        <v>17</v>
      </c>
      <c r="F17" s="4" t="n">
        <f aca="false">Corridas!Q112</f>
        <v>75398.8200787</v>
      </c>
      <c r="G17" s="4" t="n">
        <f aca="false">Corridas!R112</f>
        <v>2698.27109861043</v>
      </c>
      <c r="H17" s="4" t="n">
        <f aca="false">Corridas!Q113</f>
        <v>9161.2225853</v>
      </c>
      <c r="I17" s="4" t="n">
        <f aca="false">Corridas!R113</f>
        <v>1152.40583687454</v>
      </c>
      <c r="J17" s="5" t="n">
        <f aca="false">(H17-F17)/F17</f>
        <v>-0.878496472813001</v>
      </c>
      <c r="K17" s="6" t="n">
        <f aca="false">TTEST(Corridas!G112:P112,Corridas!G113:P113,2,3)</f>
        <v>2.40622325872701E-017</v>
      </c>
      <c r="L17" s="7" t="str">
        <f aca="false">IF(K17&gt;=0.05,"n.s.",IF((H17&gt;F17)=(E17="maior"),"VMware","Hyper-V (root)"))</f>
        <v>Hyper-V (root)</v>
      </c>
    </row>
    <row r="18" customFormat="false" ht="15" hidden="false" customHeight="false" outlineLevel="0" collapsed="false">
      <c r="A18" s="3" t="s">
        <v>29</v>
      </c>
      <c r="B18" s="3" t="s">
        <v>41</v>
      </c>
      <c r="C18" s="3" t="s">
        <v>33</v>
      </c>
      <c r="D18" s="3" t="s">
        <v>34</v>
      </c>
      <c r="E18" s="3" t="s">
        <v>21</v>
      </c>
      <c r="F18" s="4" t="n">
        <f aca="false">Corridas!Q100</f>
        <v>459.5078689307</v>
      </c>
      <c r="G18" s="4" t="n">
        <f aca="false">Corridas!R100</f>
        <v>15.8269314851573</v>
      </c>
      <c r="H18" s="4" t="n">
        <f aca="false">Corridas!Q101</f>
        <v>3539.5365282365</v>
      </c>
      <c r="I18" s="4" t="n">
        <f aca="false">Corridas!R101</f>
        <v>468.038491568322</v>
      </c>
      <c r="J18" s="5" t="n">
        <f aca="false">(H18-F18)/F18</f>
        <v>6.70288555987778</v>
      </c>
      <c r="K18" s="6" t="n">
        <f aca="false">TTEST(Corridas!G100:P100,Corridas!G101:P101,2,3)</f>
        <v>6.23129646166634E-009</v>
      </c>
      <c r="L18" s="7" t="str">
        <f aca="false">IF(K18&gt;=0.05,"n.s.",IF((H18&gt;F18)=(E18="maior"),"VMware","Hyper-V (root)"))</f>
        <v>Hyper-V (root)</v>
      </c>
    </row>
    <row r="19" customFormat="false" ht="15" hidden="false" customHeight="false" outlineLevel="0" collapsed="false">
      <c r="A19" s="3" t="s">
        <v>29</v>
      </c>
      <c r="B19" s="3" t="s">
        <v>41</v>
      </c>
      <c r="C19" s="3" t="s">
        <v>38</v>
      </c>
      <c r="D19" s="3" t="s">
        <v>34</v>
      </c>
      <c r="E19" s="3" t="s">
        <v>21</v>
      </c>
      <c r="F19" s="4" t="n">
        <f aca="false">Corridas!Q108</f>
        <v>387.9432653832</v>
      </c>
      <c r="G19" s="4" t="n">
        <f aca="false">Corridas!R108</f>
        <v>15.0559621304526</v>
      </c>
      <c r="H19" s="4" t="n">
        <f aca="false">Corridas!Q109</f>
        <v>3543.4224880948</v>
      </c>
      <c r="I19" s="4" t="n">
        <f aca="false">Corridas!R109</f>
        <v>467.728122055539</v>
      </c>
      <c r="J19" s="5" t="n">
        <f aca="false">(H19-F19)/F19</f>
        <v>8.1338677695428</v>
      </c>
      <c r="K19" s="6" t="n">
        <f aca="false">TTEST(Corridas!G108:P108,Corridas!G109:P109,2,3)</f>
        <v>5.01201982905625E-009</v>
      </c>
      <c r="L19" s="7" t="str">
        <f aca="false">IF(K19&gt;=0.05,"n.s.",IF((H19&gt;F19)=(E19="maior"),"VMware","Hyper-V (root)"))</f>
        <v>Hyper-V (root)</v>
      </c>
    </row>
    <row r="20" customFormat="false" ht="15" hidden="false" customHeight="false" outlineLevel="0" collapsed="false">
      <c r="A20" s="3" t="s">
        <v>29</v>
      </c>
      <c r="B20" s="3" t="s">
        <v>42</v>
      </c>
      <c r="C20" s="3" t="s">
        <v>43</v>
      </c>
      <c r="D20" s="3" t="s">
        <v>25</v>
      </c>
      <c r="E20" s="3" t="s">
        <v>17</v>
      </c>
      <c r="F20" s="4" t="n">
        <f aca="false">Corridas!Q118</f>
        <v>1293.1908203125</v>
      </c>
      <c r="G20" s="4" t="n">
        <f aca="false">Corridas!R118</f>
        <v>30.5764676223986</v>
      </c>
      <c r="H20" s="4" t="n">
        <f aca="false">Corridas!Q119</f>
        <v>971.555859375</v>
      </c>
      <c r="I20" s="4" t="n">
        <f aca="false">Corridas!R119</f>
        <v>30.2018696599907</v>
      </c>
      <c r="J20" s="5" t="n">
        <f aca="false">(H20-F20)/F20</f>
        <v>-0.248714231407687</v>
      </c>
      <c r="K20" s="6" t="n">
        <f aca="false">TTEST(Corridas!G118:P118,Corridas!G119:P119,2,3)</f>
        <v>5.19508505014015E-015</v>
      </c>
      <c r="L20" s="7" t="str">
        <f aca="false">IF(K20&gt;=0.05,"n.s.",IF((H20&gt;F20)=(E20="maior"),"VMware","Hyper-V (root)"))</f>
        <v>Hyper-V (root)</v>
      </c>
    </row>
    <row r="21" customFormat="false" ht="15" hidden="false" customHeight="false" outlineLevel="0" collapsed="false">
      <c r="A21" s="3" t="s">
        <v>29</v>
      </c>
      <c r="B21" s="3" t="s">
        <v>44</v>
      </c>
      <c r="C21" s="3" t="s">
        <v>45</v>
      </c>
      <c r="D21" s="3" t="s">
        <v>25</v>
      </c>
      <c r="E21" s="3" t="s">
        <v>17</v>
      </c>
      <c r="F21" s="4" t="n">
        <f aca="false">Corridas!Q126</f>
        <v>1651.293359375</v>
      </c>
      <c r="G21" s="4" t="n">
        <f aca="false">Corridas!R126</f>
        <v>232.352079689743</v>
      </c>
      <c r="H21" s="4" t="n">
        <f aca="false">Corridas!Q127</f>
        <v>797.71298828125</v>
      </c>
      <c r="I21" s="4" t="n">
        <f aca="false">Corridas!R127</f>
        <v>195.904089451868</v>
      </c>
      <c r="J21" s="5" t="n">
        <f aca="false">(H21-F21)/F21</f>
        <v>-0.51691625007008</v>
      </c>
      <c r="K21" s="6" t="n">
        <f aca="false">TTEST(Corridas!G126:P126,Corridas!G127:P127,2,3)</f>
        <v>6.75283449801854E-008</v>
      </c>
      <c r="L21" s="7" t="str">
        <f aca="false">IF(K21&gt;=0.05,"n.s.",IF((H21&gt;F21)=(E21="maior"),"VMware","Hyper-V (root)"))</f>
        <v>Hyper-V (root)</v>
      </c>
    </row>
    <row r="22" customFormat="false" ht="15" hidden="false" customHeight="false" outlineLevel="0" collapsed="false">
      <c r="A22" s="3" t="s">
        <v>46</v>
      </c>
      <c r="B22" s="3" t="s">
        <v>47</v>
      </c>
      <c r="C22" s="3" t="s">
        <v>24</v>
      </c>
      <c r="D22" s="3" t="s">
        <v>48</v>
      </c>
      <c r="E22" s="3" t="s">
        <v>17</v>
      </c>
      <c r="F22" s="4" t="n">
        <f aca="false">Corridas!Q132</f>
        <v>3546.12690495863</v>
      </c>
      <c r="G22" s="4" t="n">
        <f aca="false">Corridas!R132</f>
        <v>240.711456037187</v>
      </c>
      <c r="H22" s="4" t="n">
        <f aca="false">Corridas!Q133</f>
        <v>2374.48216544153</v>
      </c>
      <c r="I22" s="4" t="n">
        <f aca="false">Corridas!R133</f>
        <v>172.031946862948</v>
      </c>
      <c r="J22" s="5" t="n">
        <f aca="false">(H22-F22)/F22</f>
        <v>-0.330401243643809</v>
      </c>
      <c r="K22" s="6" t="n">
        <f aca="false">TTEST(Corridas!G132:P132,Corridas!G133:P133,2,3)</f>
        <v>8.86739782846259E-010</v>
      </c>
      <c r="L22" s="7" t="str">
        <f aca="false">IF(K22&gt;=0.05,"n.s.",IF((H22&gt;F22)=(E22="maior"),"VMware","Hyper-V (root)"))</f>
        <v>Hyper-V (root)</v>
      </c>
    </row>
    <row r="23" customFormat="false" ht="15" hidden="false" customHeight="false" outlineLevel="0" collapsed="false">
      <c r="A23" s="3" t="s">
        <v>46</v>
      </c>
      <c r="B23" s="3" t="s">
        <v>49</v>
      </c>
      <c r="C23" s="3" t="s">
        <v>24</v>
      </c>
      <c r="D23" s="3" t="s">
        <v>48</v>
      </c>
      <c r="E23" s="3" t="s">
        <v>17</v>
      </c>
      <c r="F23" s="4" t="n">
        <f aca="false">Corridas!Q140</f>
        <v>6165.08557759648</v>
      </c>
      <c r="G23" s="4" t="n">
        <f aca="false">Corridas!R140</f>
        <v>539.258782970175</v>
      </c>
      <c r="H23" s="4" t="n">
        <f aca="false">Corridas!Q141</f>
        <v>2100.11990440261</v>
      </c>
      <c r="I23" s="4" t="n">
        <f aca="false">Corridas!R141</f>
        <v>72.7359545866634</v>
      </c>
      <c r="J23" s="5" t="n">
        <f aca="false">(H23-F23)/F23</f>
        <v>-0.659352675973499</v>
      </c>
      <c r="K23" s="6" t="n">
        <f aca="false">TTEST(Corridas!G140:P140,Corridas!G141:P141,2,3)</f>
        <v>1.22402955462072E-009</v>
      </c>
      <c r="L23" s="7" t="str">
        <f aca="false">IF(K23&gt;=0.05,"n.s.",IF((H23&gt;F23)=(E23="maior"),"VMware","Hyper-V (root)"))</f>
        <v>Hyper-V (root)</v>
      </c>
    </row>
    <row r="24" customFormat="false" ht="15" hidden="false" customHeight="false" outlineLevel="0" collapsed="false">
      <c r="A24" s="3" t="s">
        <v>46</v>
      </c>
      <c r="B24" s="3" t="s">
        <v>50</v>
      </c>
      <c r="C24" s="3" t="s">
        <v>24</v>
      </c>
      <c r="D24" s="3" t="s">
        <v>48</v>
      </c>
      <c r="E24" s="3" t="s">
        <v>17</v>
      </c>
      <c r="F24" s="4" t="n">
        <f aca="false">Corridas!Q146</f>
        <v>4583.57718694931</v>
      </c>
      <c r="G24" s="4" t="n">
        <f aca="false">Corridas!R146</f>
        <v>766.521701409976</v>
      </c>
      <c r="H24" s="4" t="n">
        <f aca="false">Corridas!Q147</f>
        <v>2282.10389866697</v>
      </c>
      <c r="I24" s="4" t="n">
        <f aca="false">Corridas!R147</f>
        <v>143.414071490927</v>
      </c>
      <c r="J24" s="5" t="n">
        <f aca="false">(H24-F24)/F24</f>
        <v>-0.502112911905413</v>
      </c>
      <c r="K24" s="6" t="n">
        <f aca="false">TTEST(Corridas!G146:P146,Corridas!G147:P147,2,3)</f>
        <v>3.92180727334279E-006</v>
      </c>
      <c r="L24" s="7" t="str">
        <f aca="false">IF(K24&gt;=0.05,"n.s.",IF((H24&gt;F24)=(E24="maior"),"VMware","Hyper-V (root)"))</f>
        <v>Hyper-V (root)</v>
      </c>
    </row>
    <row r="25" customFormat="false" ht="15" hidden="false" customHeight="false" outlineLevel="0" collapsed="false">
      <c r="A25" s="3" t="s">
        <v>46</v>
      </c>
      <c r="B25" s="3" t="s">
        <v>47</v>
      </c>
      <c r="C25" s="3" t="s">
        <v>51</v>
      </c>
      <c r="D25" s="3" t="s">
        <v>52</v>
      </c>
      <c r="E25" s="3" t="s">
        <v>21</v>
      </c>
      <c r="F25" s="4" t="n">
        <f aca="false">Corridas!Q138</f>
        <v>9.43147010363487</v>
      </c>
      <c r="G25" s="4" t="n">
        <f aca="false">Corridas!R138</f>
        <v>1.41301203545338</v>
      </c>
      <c r="H25" s="4" t="n">
        <f aca="false">Corridas!Q139</f>
        <v>31.600284185531</v>
      </c>
      <c r="I25" s="4" t="n">
        <f aca="false">Corridas!R139</f>
        <v>1.5533653895561</v>
      </c>
      <c r="J25" s="5" t="n">
        <f aca="false">(H25-F25)/F25</f>
        <v>2.35051522597228</v>
      </c>
      <c r="K25" s="6" t="n">
        <f aca="false">TTEST(Corridas!G138:P138,Corridas!G139:P139,2,3)</f>
        <v>1.56122664690592E-017</v>
      </c>
      <c r="L25" s="7" t="str">
        <f aca="false">IF(K25&gt;=0.05,"n.s.",IF((H25&gt;F25)=(E25="maior"),"VMware","Hyper-V (root)"))</f>
        <v>Hyper-V (root)</v>
      </c>
    </row>
    <row r="26" customFormat="false" ht="15" hidden="false" customHeight="false" outlineLevel="0" collapsed="false">
      <c r="A26" s="3" t="s">
        <v>46</v>
      </c>
      <c r="B26" s="3" t="s">
        <v>53</v>
      </c>
      <c r="C26" s="3" t="s">
        <v>54</v>
      </c>
      <c r="D26" s="3" t="s">
        <v>20</v>
      </c>
      <c r="E26" s="3" t="s">
        <v>21</v>
      </c>
      <c r="F26" s="4" t="n">
        <f aca="false">Corridas!Q156</f>
        <v>0.4628</v>
      </c>
      <c r="G26" s="4" t="n">
        <f aca="false">Corridas!R156</f>
        <v>0.0290623850057462</v>
      </c>
      <c r="H26" s="4" t="n">
        <f aca="false">Corridas!Q157</f>
        <v>0.5074</v>
      </c>
      <c r="I26" s="4" t="n">
        <f aca="false">Corridas!R157</f>
        <v>0.122084852095217</v>
      </c>
      <c r="J26" s="5" t="n">
        <f aca="false">(H26-F26)/F26</f>
        <v>0.0963699222126188</v>
      </c>
      <c r="K26" s="6" t="n">
        <f aca="false">TTEST(Corridas!G156:P156,Corridas!G157:P157,2,3)</f>
        <v>0.287293186318849</v>
      </c>
      <c r="L26" s="7" t="str">
        <f aca="false">IF(K26&gt;=0.05,"n.s.",IF((H26&gt;F26)=(E26="maior"),"VMware","Hyper-V (root)"))</f>
        <v>n.s.</v>
      </c>
    </row>
    <row r="27" customFormat="false" ht="15" hidden="false" customHeight="false" outlineLevel="0" collapsed="false">
      <c r="A27" s="3" t="s">
        <v>46</v>
      </c>
      <c r="B27" s="3" t="s">
        <v>53</v>
      </c>
      <c r="C27" s="3" t="s">
        <v>55</v>
      </c>
      <c r="D27" s="3" t="s">
        <v>20</v>
      </c>
      <c r="E27" s="3" t="s">
        <v>21</v>
      </c>
      <c r="F27" s="4" t="n">
        <f aca="false">Corridas!Q158</f>
        <v>0.7841</v>
      </c>
      <c r="G27" s="4" t="n">
        <f aca="false">Corridas!R158</f>
        <v>0.2338363387785</v>
      </c>
      <c r="H27" s="4" t="n">
        <f aca="false">Corridas!Q159</f>
        <v>2.3266</v>
      </c>
      <c r="I27" s="4" t="n">
        <f aca="false">Corridas!R159</f>
        <v>2.91585768590383</v>
      </c>
      <c r="J27" s="5" t="n">
        <f aca="false">(H27-F27)/F27</f>
        <v>1.9672235684224</v>
      </c>
      <c r="K27" s="6" t="n">
        <f aca="false">TTEST(Corridas!G158:P158,Corridas!G159:P159,2,3)</f>
        <v>0.129332824178993</v>
      </c>
      <c r="L27" s="7" t="str">
        <f aca="false">IF(K27&gt;=0.05,"n.s.",IF((H27&gt;F27)=(E27="maior"),"VMware","Hyper-V (root)"))</f>
        <v>n.s.</v>
      </c>
    </row>
    <row r="28" customFormat="false" ht="15" hidden="false" customHeight="false" outlineLevel="0" collapsed="false">
      <c r="A28" s="3" t="s">
        <v>46</v>
      </c>
      <c r="B28" s="3" t="s">
        <v>53</v>
      </c>
      <c r="C28" s="3" t="s">
        <v>56</v>
      </c>
      <c r="D28" s="3" t="s">
        <v>20</v>
      </c>
      <c r="E28" s="3" t="s">
        <v>21</v>
      </c>
      <c r="F28" s="4" t="n">
        <f aca="false">Corridas!Q160</f>
        <v>0.075</v>
      </c>
      <c r="G28" s="4" t="n">
        <f aca="false">Corridas!R160</f>
        <v>0.0374136041805354</v>
      </c>
      <c r="H28" s="4" t="n">
        <f aca="false">Corridas!Q161</f>
        <v>0.3041</v>
      </c>
      <c r="I28" s="4" t="n">
        <f aca="false">Corridas!R161</f>
        <v>0.499069456310664</v>
      </c>
      <c r="J28" s="5" t="n">
        <f aca="false">(H28-F28)/F28</f>
        <v>3.05466666666667</v>
      </c>
      <c r="K28" s="6" t="n">
        <f aca="false">TTEST(Corridas!G160:P160,Corridas!G161:P161,2,3)</f>
        <v>0.181283909997794</v>
      </c>
      <c r="L28" s="7" t="str">
        <f aca="false">IF(K28&gt;=0.05,"n.s.",IF((H28&gt;F28)=(E28="maior"),"VMware","Hyper-V (root)"))</f>
        <v>n.s.</v>
      </c>
    </row>
    <row r="29" customFormat="false" ht="15" hidden="false" customHeight="false" outlineLevel="0" collapsed="false">
      <c r="A29" s="3" t="s">
        <v>46</v>
      </c>
      <c r="B29" s="3" t="s">
        <v>57</v>
      </c>
      <c r="C29" s="3" t="s">
        <v>58</v>
      </c>
      <c r="D29" s="3" t="s">
        <v>20</v>
      </c>
      <c r="E29" s="3" t="s">
        <v>21</v>
      </c>
      <c r="F29" s="4" t="n">
        <f aca="false">Corridas!Q166</f>
        <v>0.0440912111440285</v>
      </c>
      <c r="G29" s="4" t="n">
        <f aca="false">Corridas!R166</f>
        <v>0.027066999329628</v>
      </c>
      <c r="H29" s="4" t="n">
        <f aca="false">Corridas!Q167</f>
        <v>0.00764170567085162</v>
      </c>
      <c r="I29" s="4" t="n">
        <f aca="false">Corridas!R167</f>
        <v>0.00479304313352051</v>
      </c>
      <c r="J29" s="5" t="n">
        <f aca="false">(H29-F29)/F29</f>
        <v>-0.826684151499282</v>
      </c>
      <c r="K29" s="6" t="n">
        <f aca="false">TTEST(Corridas!G166:P166,Corridas!G167:P167,2,3)</f>
        <v>0.00203821366883374</v>
      </c>
      <c r="L29" s="7" t="str">
        <f aca="false">IF(K29&gt;=0.05,"n.s.",IF((H29&gt;F29)=(E29="maior"),"VMware","Hyper-V (root)"))</f>
        <v>VMware</v>
      </c>
    </row>
    <row r="30" customFormat="false" ht="15" hidden="false" customHeight="false" outlineLevel="0" collapsed="false">
      <c r="A30" s="3" t="s">
        <v>46</v>
      </c>
      <c r="B30" s="3" t="s">
        <v>59</v>
      </c>
      <c r="C30" s="3" t="s">
        <v>58</v>
      </c>
      <c r="D30" s="3" t="s">
        <v>20</v>
      </c>
      <c r="E30" s="3" t="s">
        <v>21</v>
      </c>
      <c r="F30" s="4" t="n">
        <f aca="false">Corridas!Q172</f>
        <v>0.0195277289006237</v>
      </c>
      <c r="G30" s="4" t="n">
        <f aca="false">Corridas!R172</f>
        <v>0.00971595807877357</v>
      </c>
      <c r="H30" s="4" t="n">
        <f aca="false">Corridas!Q173</f>
        <v>0.126266583027361</v>
      </c>
      <c r="I30" s="4" t="n">
        <f aca="false">Corridas!R173</f>
        <v>0.038856411885609</v>
      </c>
      <c r="J30" s="5" t="n">
        <f aca="false">(H30-F30)/F30</f>
        <v>5.46601474600196</v>
      </c>
      <c r="K30" s="6" t="n">
        <f aca="false">TTEST(Corridas!G172:P172,Corridas!G173:P173,2,3)</f>
        <v>6.88286188518011E-006</v>
      </c>
      <c r="L30" s="7" t="str">
        <f aca="false">IF(K30&gt;=0.05,"n.s.",IF((H30&gt;F30)=(E30="maior"),"VMware","Hyper-V (root)"))</f>
        <v>Hyper-V (root)</v>
      </c>
    </row>
    <row r="31" customFormat="false" ht="15" hidden="false" customHeight="false" outlineLevel="0" collapsed="false">
      <c r="A31" s="3" t="s">
        <v>46</v>
      </c>
      <c r="B31" s="3" t="s">
        <v>60</v>
      </c>
      <c r="C31" s="3" t="s">
        <v>24</v>
      </c>
      <c r="D31" s="3" t="s">
        <v>48</v>
      </c>
      <c r="E31" s="3" t="s">
        <v>17</v>
      </c>
      <c r="F31" s="4" t="n">
        <f aca="false">Corridas!Q174</f>
        <v>977.076918584125</v>
      </c>
      <c r="G31" s="4" t="n">
        <f aca="false">Corridas!R174</f>
        <v>17.6220886977945</v>
      </c>
      <c r="H31" s="4" t="n">
        <f aca="false">Corridas!Q175</f>
        <v>299.419031122124</v>
      </c>
      <c r="I31" s="4" t="n">
        <f aca="false">Corridas!R175</f>
        <v>9.54713657545616</v>
      </c>
      <c r="J31" s="5" t="n">
        <f aca="false">(H31-F31)/F31</f>
        <v>-0.69355633581437</v>
      </c>
      <c r="K31" s="6" t="n">
        <f aca="false">TTEST(Corridas!G174:P174,Corridas!G175:P175,2,3)</f>
        <v>1.27073170743459E-021</v>
      </c>
      <c r="L31" s="7" t="str">
        <f aca="false">IF(K31&gt;=0.05,"n.s.",IF((H31&gt;F31)=(E31="maior"),"VMware","Hyper-V (root)"))</f>
        <v>Hyper-V (root)</v>
      </c>
    </row>
    <row r="32" customFormat="false" ht="15" hidden="false" customHeight="false" outlineLevel="0" collapsed="false">
      <c r="A32" s="3" t="s">
        <v>46</v>
      </c>
      <c r="B32" s="3" t="s">
        <v>60</v>
      </c>
      <c r="C32" s="3" t="s">
        <v>61</v>
      </c>
      <c r="D32" s="3" t="s">
        <v>52</v>
      </c>
      <c r="E32" s="3" t="s">
        <v>21</v>
      </c>
      <c r="F32" s="4" t="n">
        <f aca="false">Corridas!Q178</f>
        <v>2.28472578013097</v>
      </c>
      <c r="G32" s="4" t="n">
        <f aca="false">Corridas!R178</f>
        <v>1.76208784123821</v>
      </c>
      <c r="H32" s="4" t="n">
        <f aca="false">Corridas!Q179</f>
        <v>0</v>
      </c>
      <c r="I32" s="4" t="n">
        <f aca="false">Corridas!R179</f>
        <v>0</v>
      </c>
      <c r="J32" s="5" t="n">
        <f aca="false">(H32-F32)/F32</f>
        <v>-1</v>
      </c>
      <c r="K32" s="6" t="n">
        <f aca="false">TTEST(Corridas!G178:P178,Corridas!G179:P179,2,3)</f>
        <v>0.00267584987115166</v>
      </c>
      <c r="L32" s="7" t="str">
        <f aca="false">IF(K32&gt;=0.05,"n.s.",IF((H32&gt;F32)=(E32="maior"),"VMware","Hyper-V (root)"))</f>
        <v>VMware</v>
      </c>
    </row>
    <row r="34" customFormat="false" ht="15" hidden="false" customHeight="false" outlineLevel="0" collapsed="false">
      <c r="A34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63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n">
        <f aca="false">Corridas!Q2</f>
        <v>295.212</v>
      </c>
      <c r="G4" s="4" t="n">
        <f aca="false">Corridas!R2</f>
        <v>2.85398279213064</v>
      </c>
      <c r="H4" s="4" t="n">
        <f aca="false">Corridas!Q3</f>
        <v>277.177</v>
      </c>
      <c r="I4" s="4" t="n">
        <f aca="false">Corridas!R3</f>
        <v>10.494959689722</v>
      </c>
      <c r="J4" s="5" t="n">
        <f aca="false">(H4-F4)/F4</f>
        <v>-0.0610916900397002</v>
      </c>
      <c r="K4" s="6" t="n">
        <f aca="false">TTEST(Corridas!G2:P2,Corridas!G3:P3,2,3)</f>
        <v>0.000339239002242476</v>
      </c>
      <c r="L4" s="7" t="str">
        <f aca="false">IF(K4&gt;=0.05,"n.s.",IF((H4&gt;F4)=(E4="maior"),"Hyper-V (core)","Hyper-V (root)"))</f>
        <v>Hyper-V (root)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19</v>
      </c>
      <c r="D5" s="3" t="s">
        <v>20</v>
      </c>
      <c r="E5" s="3" t="s">
        <v>21</v>
      </c>
      <c r="F5" s="4" t="n">
        <f aca="false">Corridas!Q8</f>
        <v>3.59</v>
      </c>
      <c r="G5" s="4" t="n">
        <f aca="false">Corridas!R8</f>
        <v>0.17950549357115</v>
      </c>
      <c r="H5" s="4" t="n">
        <f aca="false">Corridas!Q9</f>
        <v>4.563</v>
      </c>
      <c r="I5" s="4" t="n">
        <f aca="false">Corridas!R9</f>
        <v>0.806102419740265</v>
      </c>
      <c r="J5" s="5" t="n">
        <f aca="false">(H5-F5)/F5</f>
        <v>0.271030640668524</v>
      </c>
      <c r="K5" s="6" t="n">
        <f aca="false">TTEST(Corridas!G8:P8,Corridas!G9:P9,2,3)</f>
        <v>0.00401325371229988</v>
      </c>
      <c r="L5" s="7" t="str">
        <f aca="false">IF(K5&gt;=0.05,"n.s.",IF((H5&gt;F5)=(E5="maior"),"Hyper-V (core)","Hyper-V (root)"))</f>
        <v>Hyper-V (root)</v>
      </c>
    </row>
    <row r="6" customFormat="false" ht="15" hidden="false" customHeight="false" outlineLevel="0" collapsed="false">
      <c r="A6" s="3" t="s">
        <v>13</v>
      </c>
      <c r="B6" s="3" t="s">
        <v>18</v>
      </c>
      <c r="C6" s="3" t="s">
        <v>15</v>
      </c>
      <c r="D6" s="3" t="s">
        <v>16</v>
      </c>
      <c r="E6" s="3" t="s">
        <v>17</v>
      </c>
      <c r="F6" s="4" t="n">
        <f aca="false">Corridas!Q14</f>
        <v>552.772</v>
      </c>
      <c r="G6" s="4" t="n">
        <f aca="false">Corridas!R14</f>
        <v>9.47906793355177</v>
      </c>
      <c r="H6" s="4" t="n">
        <f aca="false">Corridas!Q15</f>
        <v>555.643</v>
      </c>
      <c r="I6" s="4" t="n">
        <f aca="false">Corridas!R15</f>
        <v>28.6451667631538</v>
      </c>
      <c r="J6" s="5" t="n">
        <f aca="false">(H6-F6)/F6</f>
        <v>0.00519382313141762</v>
      </c>
      <c r="K6" s="6" t="n">
        <f aca="false">TTEST(Corridas!G14:P14,Corridas!G15:P15,2,3)</f>
        <v>0.769130801697</v>
      </c>
      <c r="L6" s="7" t="str">
        <f aca="false">IF(K6&gt;=0.05,"n.s.",IF((H6&gt;F6)=(E6="maior"),"Hyper-V (core)","Hyper-V (root)"))</f>
        <v>n.s.</v>
      </c>
    </row>
    <row r="7" customFormat="false" ht="15" hidden="false" customHeight="false" outlineLevel="0" collapsed="false">
      <c r="A7" s="3" t="s">
        <v>13</v>
      </c>
      <c r="B7" s="3" t="s">
        <v>18</v>
      </c>
      <c r="C7" s="3" t="s">
        <v>19</v>
      </c>
      <c r="D7" s="3" t="s">
        <v>20</v>
      </c>
      <c r="E7" s="3" t="s">
        <v>21</v>
      </c>
      <c r="F7" s="4" t="n">
        <f aca="false">Corridas!Q20</f>
        <v>4.442</v>
      </c>
      <c r="G7" s="4" t="n">
        <f aca="false">Corridas!R20</f>
        <v>0.0559364719024081</v>
      </c>
      <c r="H7" s="4" t="n">
        <f aca="false">Corridas!Q21</f>
        <v>4.498</v>
      </c>
      <c r="I7" s="4" t="n">
        <f aca="false">Corridas!R21</f>
        <v>1.12508567574997</v>
      </c>
      <c r="J7" s="5" t="n">
        <f aca="false">(H7-F7)/F7</f>
        <v>0.0126069338135975</v>
      </c>
      <c r="K7" s="6" t="n">
        <f aca="false">TTEST(Corridas!G20:P20,Corridas!G21:P21,2,3)</f>
        <v>0.878536783130372</v>
      </c>
      <c r="L7" s="7" t="str">
        <f aca="false">IF(K7&gt;=0.05,"n.s.",IF((H7&gt;F7)=(E7="maior"),"Hyper-V (core)","Hyper-V (root)"))</f>
        <v>n.s.</v>
      </c>
    </row>
    <row r="9" customFormat="false" ht="15" hidden="false" customHeight="false" outlineLevel="0" collapsed="false">
      <c r="A9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16" min="7" style="0" width="10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8"/>
    <col collapsed="false" customWidth="true" hidden="false" outlineLevel="0" max="20" min="20" style="0" width="11"/>
  </cols>
  <sheetData>
    <row r="1" customFormat="false" ht="26.85" hidden="false" customHeight="false" outlineLevel="0" collapsed="false">
      <c r="A1" s="2" t="s">
        <v>69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</row>
    <row r="2" customFormat="false" ht="15" hidden="false" customHeight="false" outlineLevel="0" collapsed="false">
      <c r="A2" s="3" t="s">
        <v>84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85</v>
      </c>
      <c r="G2" s="9" t="n">
        <v>296.55</v>
      </c>
      <c r="H2" s="9" t="n">
        <v>294.07</v>
      </c>
      <c r="I2" s="9" t="n">
        <v>297.51</v>
      </c>
      <c r="J2" s="9" t="n">
        <v>289.4</v>
      </c>
      <c r="K2" s="9" t="n">
        <v>296.47</v>
      </c>
      <c r="L2" s="9" t="n">
        <v>296.69</v>
      </c>
      <c r="M2" s="9" t="n">
        <v>291.67</v>
      </c>
      <c r="N2" s="9" t="n">
        <v>297.15</v>
      </c>
      <c r="O2" s="9" t="n">
        <v>298.39</v>
      </c>
      <c r="P2" s="9" t="n">
        <v>294.22</v>
      </c>
      <c r="Q2" s="10" t="n">
        <f aca="false">AVERAGE(G2:P2)</f>
        <v>295.212</v>
      </c>
      <c r="R2" s="10" t="n">
        <f aca="false">STDEV(G2:P2)</f>
        <v>2.85398279213064</v>
      </c>
      <c r="S2" s="11" t="n">
        <f aca="false">IF(Q2=0,"",R2/Q2)</f>
        <v>0.00966757039730985</v>
      </c>
      <c r="T2" s="10" t="n">
        <f aca="false">TINV(0.05,COUNT(G2:P2)-1)*R2/SQRT(COUNT(G2:P2))</f>
        <v>2.04161629987209</v>
      </c>
    </row>
    <row r="3" customFormat="false" ht="15" hidden="false" customHeight="false" outlineLevel="0" collapsed="false">
      <c r="A3" s="3" t="s">
        <v>86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85</v>
      </c>
      <c r="G3" s="9" t="n">
        <v>286.58</v>
      </c>
      <c r="H3" s="9" t="n">
        <v>275</v>
      </c>
      <c r="I3" s="9" t="n">
        <v>284</v>
      </c>
      <c r="J3" s="9" t="n">
        <v>275.63</v>
      </c>
      <c r="K3" s="9" t="n">
        <v>285.25</v>
      </c>
      <c r="L3" s="9" t="n">
        <v>278.4</v>
      </c>
      <c r="M3" s="9" t="n">
        <v>283.07</v>
      </c>
      <c r="N3" s="9" t="n">
        <v>253.13</v>
      </c>
      <c r="O3" s="9" t="n">
        <v>284.38</v>
      </c>
      <c r="P3" s="9" t="n">
        <v>266.33</v>
      </c>
      <c r="Q3" s="10" t="n">
        <f aca="false">AVERAGE(G3:P3)</f>
        <v>277.177</v>
      </c>
      <c r="R3" s="10" t="n">
        <f aca="false">STDEV(G3:P3)</f>
        <v>10.494959689722</v>
      </c>
      <c r="S3" s="11" t="n">
        <f aca="false">IF(Q3=0,"",R3/Q3)</f>
        <v>0.0378637465941329</v>
      </c>
      <c r="T3" s="10" t="n">
        <f aca="false">TINV(0.05,COUNT(G3:P3)-1)*R3/SQRT(COUNT(G3:P3))</f>
        <v>7.50764189192635</v>
      </c>
    </row>
    <row r="4" customFormat="false" ht="15" hidden="false" customHeight="false" outlineLevel="0" collapsed="false">
      <c r="A4" s="3" t="s">
        <v>87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85</v>
      </c>
      <c r="G4" s="9" t="n">
        <v>298.67</v>
      </c>
      <c r="H4" s="9" t="n">
        <v>301.58</v>
      </c>
      <c r="I4" s="9" t="n">
        <v>289.66</v>
      </c>
      <c r="J4" s="9" t="n">
        <v>276.83</v>
      </c>
      <c r="K4" s="9" t="n">
        <v>271.71</v>
      </c>
      <c r="L4" s="9" t="n">
        <v>301.13</v>
      </c>
      <c r="M4" s="9" t="n">
        <v>299.37</v>
      </c>
      <c r="N4" s="9" t="n">
        <v>245.14</v>
      </c>
      <c r="O4" s="9" t="n">
        <v>300.61</v>
      </c>
      <c r="P4" s="9" t="n">
        <v>293.95</v>
      </c>
      <c r="Q4" s="10" t="n">
        <f aca="false">AVERAGE(G4:P4)</f>
        <v>287.865</v>
      </c>
      <c r="R4" s="10" t="n">
        <f aca="false">STDEV(G4:P4)</f>
        <v>18.3304229508093</v>
      </c>
      <c r="S4" s="11" t="n">
        <f aca="false">IF(Q4=0,"",R4/Q4)</f>
        <v>0.0636771505768651</v>
      </c>
      <c r="T4" s="10" t="n">
        <f aca="false">TINV(0.05,COUNT(G4:P4)-1)*R4/SQRT(COUNT(G4:P4))</f>
        <v>13.1127946472246</v>
      </c>
    </row>
    <row r="5" customFormat="false" ht="15" hidden="false" customHeight="false" outlineLevel="0" collapsed="false">
      <c r="A5" s="3" t="s">
        <v>84</v>
      </c>
      <c r="B5" s="3" t="s">
        <v>13</v>
      </c>
      <c r="C5" s="3" t="s">
        <v>14</v>
      </c>
      <c r="D5" s="3" t="s">
        <v>88</v>
      </c>
      <c r="E5" s="3" t="s">
        <v>20</v>
      </c>
      <c r="F5" s="3" t="s">
        <v>89</v>
      </c>
      <c r="G5" s="9" t="n">
        <v>3.37</v>
      </c>
      <c r="H5" s="9" t="n">
        <v>3.4</v>
      </c>
      <c r="I5" s="9" t="n">
        <v>3.36</v>
      </c>
      <c r="J5" s="9" t="n">
        <v>3.45</v>
      </c>
      <c r="K5" s="9" t="n">
        <v>3.37</v>
      </c>
      <c r="L5" s="9" t="n">
        <v>3.37</v>
      </c>
      <c r="M5" s="9" t="n">
        <v>3.43</v>
      </c>
      <c r="N5" s="9" t="n">
        <v>3.36</v>
      </c>
      <c r="O5" s="9" t="n">
        <v>3.35</v>
      </c>
      <c r="P5" s="9" t="n">
        <v>3.4</v>
      </c>
      <c r="Q5" s="10" t="n">
        <f aca="false">AVERAGE(G5:P5)</f>
        <v>3.386</v>
      </c>
      <c r="R5" s="10" t="n">
        <f aca="false">STDEV(G5:P5)</f>
        <v>0.033065591380366</v>
      </c>
      <c r="S5" s="11" t="n">
        <f aca="false">IF(Q5=0,"",R5/Q5)</f>
        <v>0.00976538434151389</v>
      </c>
      <c r="T5" s="10" t="n">
        <f aca="false">TINV(0.05,COUNT(G5:P5)-1)*R5/SQRT(COUNT(G5:P5))</f>
        <v>0.0236536991439489</v>
      </c>
    </row>
    <row r="6" customFormat="false" ht="15" hidden="false" customHeight="false" outlineLevel="0" collapsed="false">
      <c r="A6" s="3" t="s">
        <v>86</v>
      </c>
      <c r="B6" s="3" t="s">
        <v>13</v>
      </c>
      <c r="C6" s="3" t="s">
        <v>14</v>
      </c>
      <c r="D6" s="3" t="s">
        <v>88</v>
      </c>
      <c r="E6" s="3" t="s">
        <v>20</v>
      </c>
      <c r="F6" s="3" t="s">
        <v>89</v>
      </c>
      <c r="G6" s="9" t="n">
        <v>3.49</v>
      </c>
      <c r="H6" s="9" t="n">
        <v>3.63</v>
      </c>
      <c r="I6" s="9" t="n">
        <v>3.52</v>
      </c>
      <c r="J6" s="9" t="n">
        <v>3.63</v>
      </c>
      <c r="K6" s="9" t="n">
        <v>3.5</v>
      </c>
      <c r="L6" s="9" t="n">
        <v>3.59</v>
      </c>
      <c r="M6" s="9" t="n">
        <v>3.53</v>
      </c>
      <c r="N6" s="9" t="n">
        <v>3.95</v>
      </c>
      <c r="O6" s="9" t="n">
        <v>3.51</v>
      </c>
      <c r="P6" s="9" t="n">
        <v>3.75</v>
      </c>
      <c r="Q6" s="10" t="n">
        <f aca="false">AVERAGE(G6:P6)</f>
        <v>3.61</v>
      </c>
      <c r="R6" s="10" t="n">
        <f aca="false">STDEV(G6:P6)</f>
        <v>0.144299072146089</v>
      </c>
      <c r="S6" s="11" t="n">
        <f aca="false">IF(Q6=0,"",R6/Q6)</f>
        <v>0.0399720421457311</v>
      </c>
      <c r="T6" s="10" t="n">
        <f aca="false">TINV(0.05,COUNT(G6:P6)-1)*R6/SQRT(COUNT(G6:P6))</f>
        <v>0.103225337784864</v>
      </c>
    </row>
    <row r="7" customFormat="false" ht="15" hidden="false" customHeight="false" outlineLevel="0" collapsed="false">
      <c r="A7" s="3" t="s">
        <v>87</v>
      </c>
      <c r="B7" s="3" t="s">
        <v>13</v>
      </c>
      <c r="C7" s="3" t="s">
        <v>14</v>
      </c>
      <c r="D7" s="3" t="s">
        <v>88</v>
      </c>
      <c r="E7" s="3" t="s">
        <v>20</v>
      </c>
      <c r="F7" s="3" t="s">
        <v>89</v>
      </c>
      <c r="G7" s="9" t="n">
        <v>3.35</v>
      </c>
      <c r="H7" s="9" t="n">
        <v>3.31</v>
      </c>
      <c r="I7" s="9" t="n">
        <v>3.45</v>
      </c>
      <c r="J7" s="9" t="n">
        <v>3.61</v>
      </c>
      <c r="K7" s="9" t="n">
        <v>3.68</v>
      </c>
      <c r="L7" s="9" t="n">
        <v>3.32</v>
      </c>
      <c r="M7" s="9" t="n">
        <v>3.34</v>
      </c>
      <c r="N7" s="9" t="n">
        <v>4.08</v>
      </c>
      <c r="O7" s="9" t="n">
        <v>3.32</v>
      </c>
      <c r="P7" s="9" t="n">
        <v>3.4</v>
      </c>
      <c r="Q7" s="10" t="n">
        <f aca="false">AVERAGE(G7:P7)</f>
        <v>3.486</v>
      </c>
      <c r="R7" s="10" t="n">
        <f aca="false">STDEV(G7:P7)</f>
        <v>0.245048747984741</v>
      </c>
      <c r="S7" s="11" t="n">
        <f aca="false">IF(Q7=0,"",R7/Q7)</f>
        <v>0.0702951084293576</v>
      </c>
      <c r="T7" s="10" t="n">
        <f aca="false">TINV(0.05,COUNT(G7:P7)-1)*R7/SQRT(COUNT(G7:P7))</f>
        <v>0.175297314170349</v>
      </c>
    </row>
    <row r="8" customFormat="false" ht="15" hidden="false" customHeight="false" outlineLevel="0" collapsed="false">
      <c r="A8" s="3" t="s">
        <v>84</v>
      </c>
      <c r="B8" s="3" t="s">
        <v>13</v>
      </c>
      <c r="C8" s="3" t="s">
        <v>14</v>
      </c>
      <c r="D8" s="3" t="s">
        <v>19</v>
      </c>
      <c r="E8" s="3" t="s">
        <v>20</v>
      </c>
      <c r="F8" s="3" t="s">
        <v>89</v>
      </c>
      <c r="G8" s="9" t="n">
        <v>3.49</v>
      </c>
      <c r="H8" s="9" t="n">
        <v>3.68</v>
      </c>
      <c r="I8" s="9" t="n">
        <v>3.43</v>
      </c>
      <c r="J8" s="9" t="n">
        <v>3.96</v>
      </c>
      <c r="K8" s="9" t="n">
        <v>3.49</v>
      </c>
      <c r="L8" s="9" t="n">
        <v>3.49</v>
      </c>
      <c r="M8" s="9" t="n">
        <v>3.82</v>
      </c>
      <c r="N8" s="9" t="n">
        <v>3.49</v>
      </c>
      <c r="O8" s="9" t="n">
        <v>3.43</v>
      </c>
      <c r="P8" s="9" t="n">
        <v>3.62</v>
      </c>
      <c r="Q8" s="10" t="n">
        <f aca="false">AVERAGE(G8:P8)</f>
        <v>3.59</v>
      </c>
      <c r="R8" s="10" t="n">
        <f aca="false">STDEV(G8:P8)</f>
        <v>0.17950549357115</v>
      </c>
      <c r="S8" s="11" t="n">
        <f aca="false">IF(Q8=0,"",R8/Q8)</f>
        <v>0.0500015302426602</v>
      </c>
      <c r="T8" s="10" t="n">
        <f aca="false">TINV(0.05,COUNT(G8:P8)-1)*R8/SQRT(COUNT(G8:P8))</f>
        <v>0.128410494485795</v>
      </c>
    </row>
    <row r="9" customFormat="false" ht="15" hidden="false" customHeight="false" outlineLevel="0" collapsed="false">
      <c r="A9" s="3" t="s">
        <v>86</v>
      </c>
      <c r="B9" s="3" t="s">
        <v>13</v>
      </c>
      <c r="C9" s="3" t="s">
        <v>14</v>
      </c>
      <c r="D9" s="3" t="s">
        <v>19</v>
      </c>
      <c r="E9" s="3" t="s">
        <v>20</v>
      </c>
      <c r="F9" s="3" t="s">
        <v>89</v>
      </c>
      <c r="G9" s="9" t="n">
        <v>3.96</v>
      </c>
      <c r="H9" s="9" t="n">
        <v>4.57</v>
      </c>
      <c r="I9" s="9" t="n">
        <v>4.03</v>
      </c>
      <c r="J9" s="9" t="n">
        <v>4.57</v>
      </c>
      <c r="K9" s="9" t="n">
        <v>3.89</v>
      </c>
      <c r="L9" s="9" t="n">
        <v>4.57</v>
      </c>
      <c r="M9" s="9" t="n">
        <v>4.1</v>
      </c>
      <c r="N9" s="9" t="n">
        <v>6.21</v>
      </c>
      <c r="O9" s="9" t="n">
        <v>3.96</v>
      </c>
      <c r="P9" s="9" t="n">
        <v>5.77</v>
      </c>
      <c r="Q9" s="10" t="n">
        <f aca="false">AVERAGE(G9:P9)</f>
        <v>4.563</v>
      </c>
      <c r="R9" s="10" t="n">
        <f aca="false">STDEV(G9:P9)</f>
        <v>0.806102419740265</v>
      </c>
      <c r="S9" s="11" t="n">
        <f aca="false">IF(Q9=0,"",R9/Q9)</f>
        <v>0.176660622340624</v>
      </c>
      <c r="T9" s="10" t="n">
        <f aca="false">TINV(0.05,COUNT(G9:P9)-1)*R9/SQRT(COUNT(G9:P9))</f>
        <v>0.576650932880862</v>
      </c>
    </row>
    <row r="10" customFormat="false" ht="15" hidden="false" customHeight="false" outlineLevel="0" collapsed="false">
      <c r="A10" s="3" t="s">
        <v>87</v>
      </c>
      <c r="B10" s="3" t="s">
        <v>13</v>
      </c>
      <c r="C10" s="3" t="s">
        <v>14</v>
      </c>
      <c r="D10" s="3" t="s">
        <v>19</v>
      </c>
      <c r="E10" s="3" t="s">
        <v>20</v>
      </c>
      <c r="F10" s="3" t="s">
        <v>89</v>
      </c>
      <c r="G10" s="9" t="n">
        <v>3.49</v>
      </c>
      <c r="H10" s="9" t="n">
        <v>3.43</v>
      </c>
      <c r="I10" s="9" t="n">
        <v>4.41</v>
      </c>
      <c r="J10" s="9" t="n">
        <v>4.65</v>
      </c>
      <c r="K10" s="9" t="n">
        <v>4.57</v>
      </c>
      <c r="L10" s="9" t="n">
        <v>3.43</v>
      </c>
      <c r="M10" s="9" t="n">
        <v>3.49</v>
      </c>
      <c r="N10" s="9" t="n">
        <v>5.09</v>
      </c>
      <c r="O10" s="9" t="n">
        <v>3.43</v>
      </c>
      <c r="P10" s="9" t="n">
        <v>4.03</v>
      </c>
      <c r="Q10" s="10" t="n">
        <f aca="false">AVERAGE(G10:P10)</f>
        <v>4.002</v>
      </c>
      <c r="R10" s="10" t="n">
        <f aca="false">STDEV(G10:P10)</f>
        <v>0.63239931126535</v>
      </c>
      <c r="S10" s="11" t="n">
        <f aca="false">IF(Q10=0,"",R10/Q10)</f>
        <v>0.158020817407634</v>
      </c>
      <c r="T10" s="10" t="n">
        <f aca="false">TINV(0.05,COUNT(G10:P10)-1)*R10/SQRT(COUNT(G10:P10))</f>
        <v>0.45239121464476</v>
      </c>
    </row>
    <row r="11" customFormat="false" ht="15" hidden="false" customHeight="false" outlineLevel="0" collapsed="false">
      <c r="A11" s="3" t="s">
        <v>84</v>
      </c>
      <c r="B11" s="3" t="s">
        <v>13</v>
      </c>
      <c r="C11" s="3" t="s">
        <v>14</v>
      </c>
      <c r="D11" s="3" t="s">
        <v>90</v>
      </c>
      <c r="E11" s="3" t="s">
        <v>20</v>
      </c>
      <c r="F11" s="3" t="s">
        <v>89</v>
      </c>
      <c r="G11" s="9" t="n">
        <v>4.61</v>
      </c>
      <c r="H11" s="9" t="n">
        <v>5.33</v>
      </c>
      <c r="I11" s="9" t="n">
        <v>5.11</v>
      </c>
      <c r="J11" s="9" t="n">
        <v>11.06</v>
      </c>
      <c r="K11" s="9" t="n">
        <v>15.96</v>
      </c>
      <c r="L11" s="9" t="n">
        <v>6.33</v>
      </c>
      <c r="M11" s="9" t="n">
        <v>5.66</v>
      </c>
      <c r="N11" s="9" t="n">
        <v>7.82</v>
      </c>
      <c r="O11" s="9" t="n">
        <v>4.06</v>
      </c>
      <c r="P11" s="9" t="n">
        <v>6.58</v>
      </c>
      <c r="Q11" s="10" t="n">
        <f aca="false">AVERAGE(G11:P11)</f>
        <v>7.252</v>
      </c>
      <c r="R11" s="10" t="n">
        <f aca="false">STDEV(G11:P11)</f>
        <v>3.65057316656501</v>
      </c>
      <c r="S11" s="11" t="n">
        <f aca="false">IF(Q11=0,"",R11/Q11)</f>
        <v>0.503388467535163</v>
      </c>
      <c r="T11" s="10" t="n">
        <f aca="false">TINV(0.05,COUNT(G11:P11)-1)*R11/SQRT(COUNT(G11:P11))</f>
        <v>2.61146272545347</v>
      </c>
    </row>
    <row r="12" customFormat="false" ht="15" hidden="false" customHeight="false" outlineLevel="0" collapsed="false">
      <c r="A12" s="3" t="s">
        <v>86</v>
      </c>
      <c r="B12" s="3" t="s">
        <v>13</v>
      </c>
      <c r="C12" s="3" t="s">
        <v>14</v>
      </c>
      <c r="D12" s="3" t="s">
        <v>90</v>
      </c>
      <c r="E12" s="3" t="s">
        <v>20</v>
      </c>
      <c r="F12" s="3" t="s">
        <v>89</v>
      </c>
      <c r="G12" s="9" t="n">
        <v>11.25</v>
      </c>
      <c r="H12" s="9" t="n">
        <v>13.25</v>
      </c>
      <c r="I12" s="9" t="n">
        <v>8.34</v>
      </c>
      <c r="J12" s="9" t="n">
        <v>12.15</v>
      </c>
      <c r="K12" s="9" t="n">
        <v>9.7</v>
      </c>
      <c r="L12" s="9" t="n">
        <v>8.92</v>
      </c>
      <c r="M12" s="9" t="n">
        <v>11.38</v>
      </c>
      <c r="N12" s="9" t="n">
        <v>15.86</v>
      </c>
      <c r="O12" s="9" t="n">
        <v>13.5</v>
      </c>
      <c r="P12" s="9" t="n">
        <v>13</v>
      </c>
      <c r="Q12" s="10" t="n">
        <f aca="false">AVERAGE(G12:P12)</f>
        <v>11.735</v>
      </c>
      <c r="R12" s="10" t="n">
        <f aca="false">STDEV(G12:P12)</f>
        <v>2.31303672450069</v>
      </c>
      <c r="S12" s="11" t="n">
        <f aca="false">IF(Q12=0,"",R12/Q12)</f>
        <v>0.197105813762309</v>
      </c>
      <c r="T12" s="10" t="n">
        <f aca="false">TINV(0.05,COUNT(G12:P12)-1)*R12/SQRT(COUNT(G12:P12))</f>
        <v>1.65464679463534</v>
      </c>
    </row>
    <row r="13" customFormat="false" ht="15" hidden="false" customHeight="false" outlineLevel="0" collapsed="false">
      <c r="A13" s="3" t="s">
        <v>87</v>
      </c>
      <c r="B13" s="3" t="s">
        <v>13</v>
      </c>
      <c r="C13" s="3" t="s">
        <v>14</v>
      </c>
      <c r="D13" s="3" t="s">
        <v>90</v>
      </c>
      <c r="E13" s="3" t="s">
        <v>20</v>
      </c>
      <c r="F13" s="3" t="s">
        <v>89</v>
      </c>
      <c r="G13" s="9" t="n">
        <v>13.73</v>
      </c>
      <c r="H13" s="9" t="n">
        <v>5.32</v>
      </c>
      <c r="I13" s="9" t="n">
        <v>7.18</v>
      </c>
      <c r="J13" s="9" t="n">
        <v>5.83</v>
      </c>
      <c r="K13" s="9" t="n">
        <v>378.65</v>
      </c>
      <c r="L13" s="9" t="n">
        <v>5.1</v>
      </c>
      <c r="M13" s="9" t="n">
        <v>8.13</v>
      </c>
      <c r="N13" s="9" t="n">
        <v>11.31</v>
      </c>
      <c r="O13" s="9" t="n">
        <v>7.18</v>
      </c>
      <c r="P13" s="9" t="n">
        <v>7.19</v>
      </c>
      <c r="Q13" s="10" t="n">
        <f aca="false">AVERAGE(G13:P13)</f>
        <v>44.962</v>
      </c>
      <c r="R13" s="10" t="n">
        <f aca="false">STDEV(G13:P13)</f>
        <v>117.27727645769</v>
      </c>
      <c r="S13" s="11" t="n">
        <f aca="false">IF(Q13=0,"",R13/Q13)</f>
        <v>2.60836431781703</v>
      </c>
      <c r="T13" s="10" t="n">
        <f aca="false">TINV(0.05,COUNT(G13:P13)-1)*R13/SQRT(COUNT(G13:P13))</f>
        <v>83.8951096274391</v>
      </c>
    </row>
    <row r="14" customFormat="false" ht="15" hidden="false" customHeight="false" outlineLevel="0" collapsed="false">
      <c r="A14" s="3" t="s">
        <v>84</v>
      </c>
      <c r="B14" s="3" t="s">
        <v>13</v>
      </c>
      <c r="C14" s="3" t="s">
        <v>18</v>
      </c>
      <c r="D14" s="3" t="s">
        <v>15</v>
      </c>
      <c r="E14" s="3" t="s">
        <v>16</v>
      </c>
      <c r="F14" s="3" t="s">
        <v>85</v>
      </c>
      <c r="G14" s="9" t="n">
        <v>555.98</v>
      </c>
      <c r="H14" s="9" t="n">
        <v>569.19</v>
      </c>
      <c r="I14" s="9" t="n">
        <v>559.95</v>
      </c>
      <c r="J14" s="9" t="n">
        <v>548.35</v>
      </c>
      <c r="K14" s="9" t="n">
        <v>553.82</v>
      </c>
      <c r="L14" s="9" t="n">
        <v>543.89</v>
      </c>
      <c r="M14" s="9" t="n">
        <v>553.04</v>
      </c>
      <c r="N14" s="9" t="n">
        <v>562.08</v>
      </c>
      <c r="O14" s="9" t="n">
        <v>540.52</v>
      </c>
      <c r="P14" s="9" t="n">
        <v>540.9</v>
      </c>
      <c r="Q14" s="10" t="n">
        <f aca="false">AVERAGE(G14:P14)</f>
        <v>552.772</v>
      </c>
      <c r="R14" s="10" t="n">
        <f aca="false">STDEV(G14:P14)</f>
        <v>9.47906793355177</v>
      </c>
      <c r="S14" s="11" t="n">
        <f aca="false">IF(Q14=0,"",R14/Q14)</f>
        <v>0.0171482418312646</v>
      </c>
      <c r="T14" s="10" t="n">
        <f aca="false">TINV(0.05,COUNT(G14:P14)-1)*R14/SQRT(COUNT(G14:P14))</f>
        <v>6.78091670843134</v>
      </c>
    </row>
    <row r="15" customFormat="false" ht="15" hidden="false" customHeight="false" outlineLevel="0" collapsed="false">
      <c r="A15" s="3" t="s">
        <v>86</v>
      </c>
      <c r="B15" s="3" t="s">
        <v>13</v>
      </c>
      <c r="C15" s="3" t="s">
        <v>18</v>
      </c>
      <c r="D15" s="3" t="s">
        <v>15</v>
      </c>
      <c r="E15" s="3" t="s">
        <v>16</v>
      </c>
      <c r="F15" s="3" t="s">
        <v>85</v>
      </c>
      <c r="G15" s="9" t="n">
        <v>492.32</v>
      </c>
      <c r="H15" s="9" t="n">
        <v>567.5</v>
      </c>
      <c r="I15" s="9" t="n">
        <v>512.01</v>
      </c>
      <c r="J15" s="9" t="n">
        <v>565.48</v>
      </c>
      <c r="K15" s="9" t="n">
        <v>571.92</v>
      </c>
      <c r="L15" s="9" t="n">
        <v>570.29</v>
      </c>
      <c r="M15" s="9" t="n">
        <v>570.75</v>
      </c>
      <c r="N15" s="9" t="n">
        <v>570.36</v>
      </c>
      <c r="O15" s="9" t="n">
        <v>570.04</v>
      </c>
      <c r="P15" s="9" t="n">
        <v>565.76</v>
      </c>
      <c r="Q15" s="10" t="n">
        <f aca="false">AVERAGE(G15:P15)</f>
        <v>555.643</v>
      </c>
      <c r="R15" s="10" t="n">
        <f aca="false">STDEV(G15:P15)</f>
        <v>28.6451667631538</v>
      </c>
      <c r="S15" s="11" t="n">
        <f aca="false">IF(Q15=0,"",R15/Q15)</f>
        <v>0.0515531857022472</v>
      </c>
      <c r="T15" s="10" t="n">
        <f aca="false">TINV(0.05,COUNT(G15:P15)-1)*R15/SQRT(COUNT(G15:P15))</f>
        <v>20.4915178667034</v>
      </c>
    </row>
    <row r="16" customFormat="false" ht="15" hidden="false" customHeight="false" outlineLevel="0" collapsed="false">
      <c r="A16" s="3" t="s">
        <v>87</v>
      </c>
      <c r="B16" s="3" t="s">
        <v>13</v>
      </c>
      <c r="C16" s="3" t="s">
        <v>18</v>
      </c>
      <c r="D16" s="3" t="s">
        <v>15</v>
      </c>
      <c r="E16" s="3" t="s">
        <v>16</v>
      </c>
      <c r="F16" s="3" t="s">
        <v>85</v>
      </c>
      <c r="G16" s="9" t="n">
        <v>547.22</v>
      </c>
      <c r="H16" s="9" t="n">
        <v>554.59</v>
      </c>
      <c r="I16" s="9" t="n">
        <v>527.83</v>
      </c>
      <c r="J16" s="9" t="n">
        <v>505.71</v>
      </c>
      <c r="K16" s="9" t="n">
        <v>522.88</v>
      </c>
      <c r="L16" s="9" t="n">
        <v>512.34</v>
      </c>
      <c r="M16" s="9" t="n">
        <v>552.38</v>
      </c>
      <c r="N16" s="9" t="n">
        <v>528.31</v>
      </c>
      <c r="O16" s="9" t="n">
        <v>580.19</v>
      </c>
      <c r="P16" s="9" t="n">
        <v>533.52</v>
      </c>
      <c r="Q16" s="10" t="n">
        <f aca="false">AVERAGE(G16:P16)</f>
        <v>536.497</v>
      </c>
      <c r="R16" s="10" t="n">
        <f aca="false">STDEV(G16:P16)</f>
        <v>22.2897993859673</v>
      </c>
      <c r="S16" s="11" t="n">
        <f aca="false">IF(Q16=0,"",R16/Q16)</f>
        <v>0.0415469226966176</v>
      </c>
      <c r="T16" s="10" t="n">
        <f aca="false">TINV(0.05,COUNT(G16:P16)-1)*R16/SQRT(COUNT(G16:P16))</f>
        <v>15.9451619234524</v>
      </c>
    </row>
    <row r="17" customFormat="false" ht="15" hidden="false" customHeight="false" outlineLevel="0" collapsed="false">
      <c r="A17" s="3" t="s">
        <v>84</v>
      </c>
      <c r="B17" s="3" t="s">
        <v>13</v>
      </c>
      <c r="C17" s="3" t="s">
        <v>18</v>
      </c>
      <c r="D17" s="3" t="s">
        <v>88</v>
      </c>
      <c r="E17" s="3" t="s">
        <v>20</v>
      </c>
      <c r="F17" s="3" t="s">
        <v>89</v>
      </c>
      <c r="G17" s="9" t="n">
        <v>3.6</v>
      </c>
      <c r="H17" s="9" t="n">
        <v>3.51</v>
      </c>
      <c r="I17" s="9" t="n">
        <v>3.57</v>
      </c>
      <c r="J17" s="9" t="n">
        <v>3.65</v>
      </c>
      <c r="K17" s="9" t="n">
        <v>3.61</v>
      </c>
      <c r="L17" s="9" t="n">
        <v>3.68</v>
      </c>
      <c r="M17" s="9" t="n">
        <v>3.61</v>
      </c>
      <c r="N17" s="9" t="n">
        <v>3.56</v>
      </c>
      <c r="O17" s="9" t="n">
        <v>3.7</v>
      </c>
      <c r="P17" s="9" t="n">
        <v>3.7</v>
      </c>
      <c r="Q17" s="10" t="n">
        <f aca="false">AVERAGE(G17:P17)</f>
        <v>3.619</v>
      </c>
      <c r="R17" s="10" t="n">
        <f aca="false">STDEV(G17:P17)</f>
        <v>0.0633245607959504</v>
      </c>
      <c r="S17" s="11" t="n">
        <f aca="false">IF(Q17=0,"",R17/Q17)</f>
        <v>0.0174978062437</v>
      </c>
      <c r="T17" s="10" t="n">
        <f aca="false">TINV(0.05,COUNT(G17:P17)-1)*R17/SQRT(COUNT(G17:P17))</f>
        <v>0.0452996618829423</v>
      </c>
    </row>
    <row r="18" customFormat="false" ht="15" hidden="false" customHeight="false" outlineLevel="0" collapsed="false">
      <c r="A18" s="3" t="s">
        <v>86</v>
      </c>
      <c r="B18" s="3" t="s">
        <v>13</v>
      </c>
      <c r="C18" s="3" t="s">
        <v>18</v>
      </c>
      <c r="D18" s="3" t="s">
        <v>88</v>
      </c>
      <c r="E18" s="3" t="s">
        <v>20</v>
      </c>
      <c r="F18" s="3" t="s">
        <v>89</v>
      </c>
      <c r="G18" s="9" t="n">
        <v>4.06</v>
      </c>
      <c r="H18" s="9" t="n">
        <v>3.52</v>
      </c>
      <c r="I18" s="9" t="n">
        <v>3.9</v>
      </c>
      <c r="J18" s="9" t="n">
        <v>3.53</v>
      </c>
      <c r="K18" s="9" t="n">
        <v>3.49</v>
      </c>
      <c r="L18" s="9" t="n">
        <v>3.5</v>
      </c>
      <c r="M18" s="9" t="n">
        <v>3.5</v>
      </c>
      <c r="N18" s="9" t="n">
        <v>3.5</v>
      </c>
      <c r="O18" s="9" t="n">
        <v>3.51</v>
      </c>
      <c r="P18" s="9" t="n">
        <v>3.53</v>
      </c>
      <c r="Q18" s="10" t="n">
        <f aca="false">AVERAGE(G18:P18)</f>
        <v>3.604</v>
      </c>
      <c r="R18" s="10" t="n">
        <f aca="false">STDEV(G18:P18)</f>
        <v>0.20216604836399</v>
      </c>
      <c r="S18" s="11" t="n">
        <f aca="false">IF(Q18=0,"",R18/Q18)</f>
        <v>0.0560949079811292</v>
      </c>
      <c r="T18" s="10" t="n">
        <f aca="false">TINV(0.05,COUNT(G18:P18)-1)*R18/SQRT(COUNT(G18:P18))</f>
        <v>0.14462087884998</v>
      </c>
    </row>
    <row r="19" customFormat="false" ht="15" hidden="false" customHeight="false" outlineLevel="0" collapsed="false">
      <c r="A19" s="3" t="s">
        <v>87</v>
      </c>
      <c r="B19" s="3" t="s">
        <v>13</v>
      </c>
      <c r="C19" s="3" t="s">
        <v>18</v>
      </c>
      <c r="D19" s="3" t="s">
        <v>88</v>
      </c>
      <c r="E19" s="3" t="s">
        <v>20</v>
      </c>
      <c r="F19" s="3" t="s">
        <v>89</v>
      </c>
      <c r="G19" s="9" t="n">
        <v>3.65</v>
      </c>
      <c r="H19" s="9" t="n">
        <v>3.6</v>
      </c>
      <c r="I19" s="9" t="n">
        <v>3.79</v>
      </c>
      <c r="J19" s="9" t="n">
        <v>3.95</v>
      </c>
      <c r="K19" s="9" t="n">
        <v>3.82</v>
      </c>
      <c r="L19" s="9" t="n">
        <v>3.9</v>
      </c>
      <c r="M19" s="9" t="n">
        <v>3.62</v>
      </c>
      <c r="N19" s="9" t="n">
        <v>3.78</v>
      </c>
      <c r="O19" s="9" t="n">
        <v>3.45</v>
      </c>
      <c r="P19" s="9" t="n">
        <v>3.75</v>
      </c>
      <c r="Q19" s="10" t="n">
        <f aca="false">AVERAGE(G19:P19)</f>
        <v>3.731</v>
      </c>
      <c r="R19" s="10" t="n">
        <f aca="false">STDEV(G19:P19)</f>
        <v>0.15117686477912</v>
      </c>
      <c r="S19" s="11" t="n">
        <f aca="false">IF(Q19=0,"",R19/Q19)</f>
        <v>0.0405191275205361</v>
      </c>
      <c r="T19" s="10" t="n">
        <f aca="false">TINV(0.05,COUNT(G19:P19)-1)*R19/SQRT(COUNT(G19:P19))</f>
        <v>0.108145414242737</v>
      </c>
    </row>
    <row r="20" customFormat="false" ht="15" hidden="false" customHeight="false" outlineLevel="0" collapsed="false">
      <c r="A20" s="3" t="s">
        <v>84</v>
      </c>
      <c r="B20" s="3" t="s">
        <v>13</v>
      </c>
      <c r="C20" s="3" t="s">
        <v>18</v>
      </c>
      <c r="D20" s="3" t="s">
        <v>19</v>
      </c>
      <c r="E20" s="3" t="s">
        <v>20</v>
      </c>
      <c r="F20" s="3" t="s">
        <v>89</v>
      </c>
      <c r="G20" s="9" t="n">
        <v>4.41</v>
      </c>
      <c r="H20" s="9" t="n">
        <v>4.41</v>
      </c>
      <c r="I20" s="9" t="n">
        <v>4.41</v>
      </c>
      <c r="J20" s="9" t="n">
        <v>4.41</v>
      </c>
      <c r="K20" s="9" t="n">
        <v>4.49</v>
      </c>
      <c r="L20" s="9" t="n">
        <v>4.41</v>
      </c>
      <c r="M20" s="9" t="n">
        <v>4.41</v>
      </c>
      <c r="N20" s="9" t="n">
        <v>4.41</v>
      </c>
      <c r="O20" s="9" t="n">
        <v>4.49</v>
      </c>
      <c r="P20" s="9" t="n">
        <v>4.57</v>
      </c>
      <c r="Q20" s="10" t="n">
        <f aca="false">AVERAGE(G20:P20)</f>
        <v>4.442</v>
      </c>
      <c r="R20" s="10" t="n">
        <f aca="false">STDEV(G20:P20)</f>
        <v>0.0559364719024081</v>
      </c>
      <c r="S20" s="11" t="n">
        <f aca="false">IF(Q20=0,"",R20/Q20)</f>
        <v>0.012592632125711</v>
      </c>
      <c r="T20" s="10" t="n">
        <f aca="false">TINV(0.05,COUNT(G20:P20)-1)*R20/SQRT(COUNT(G20:P20))</f>
        <v>0.0400145414710217</v>
      </c>
    </row>
    <row r="21" customFormat="false" ht="15" hidden="false" customHeight="false" outlineLevel="0" collapsed="false">
      <c r="A21" s="3" t="s">
        <v>86</v>
      </c>
      <c r="B21" s="3" t="s">
        <v>13</v>
      </c>
      <c r="C21" s="3" t="s">
        <v>18</v>
      </c>
      <c r="D21" s="3" t="s">
        <v>19</v>
      </c>
      <c r="E21" s="3" t="s">
        <v>20</v>
      </c>
      <c r="F21" s="3" t="s">
        <v>89</v>
      </c>
      <c r="G21" s="9" t="n">
        <v>6.91</v>
      </c>
      <c r="H21" s="9" t="n">
        <v>4.03</v>
      </c>
      <c r="I21" s="9" t="n">
        <v>6.32</v>
      </c>
      <c r="J21" s="9" t="n">
        <v>3.96</v>
      </c>
      <c r="K21" s="9" t="n">
        <v>3.89</v>
      </c>
      <c r="L21" s="9" t="n">
        <v>3.96</v>
      </c>
      <c r="M21" s="9" t="n">
        <v>3.96</v>
      </c>
      <c r="N21" s="9" t="n">
        <v>3.96</v>
      </c>
      <c r="O21" s="9" t="n">
        <v>3.96</v>
      </c>
      <c r="P21" s="9" t="n">
        <v>4.03</v>
      </c>
      <c r="Q21" s="10" t="n">
        <f aca="false">AVERAGE(G21:P21)</f>
        <v>4.498</v>
      </c>
      <c r="R21" s="10" t="n">
        <f aca="false">STDEV(G21:P21)</f>
        <v>1.12508567574997</v>
      </c>
      <c r="S21" s="11" t="n">
        <f aca="false">IF(Q21=0,"",R21/Q21)</f>
        <v>0.2501302080369</v>
      </c>
      <c r="T21" s="10" t="n">
        <f aca="false">TINV(0.05,COUNT(G21:P21)-1)*R21/SQRT(COUNT(G21:P21))</f>
        <v>0.804837807956417</v>
      </c>
    </row>
    <row r="22" customFormat="false" ht="15" hidden="false" customHeight="false" outlineLevel="0" collapsed="false">
      <c r="A22" s="3" t="s">
        <v>87</v>
      </c>
      <c r="B22" s="3" t="s">
        <v>13</v>
      </c>
      <c r="C22" s="3" t="s">
        <v>18</v>
      </c>
      <c r="D22" s="3" t="s">
        <v>19</v>
      </c>
      <c r="E22" s="3" t="s">
        <v>20</v>
      </c>
      <c r="F22" s="3" t="s">
        <v>89</v>
      </c>
      <c r="G22" s="9" t="n">
        <v>4.33</v>
      </c>
      <c r="H22" s="9" t="n">
        <v>4.33</v>
      </c>
      <c r="I22" s="9" t="n">
        <v>4.74</v>
      </c>
      <c r="J22" s="9" t="n">
        <v>4.65</v>
      </c>
      <c r="K22" s="9" t="n">
        <v>4.74</v>
      </c>
      <c r="L22" s="9" t="n">
        <v>5.09</v>
      </c>
      <c r="M22" s="9" t="n">
        <v>4.33</v>
      </c>
      <c r="N22" s="9" t="n">
        <v>4.57</v>
      </c>
      <c r="O22" s="9" t="n">
        <v>4.33</v>
      </c>
      <c r="P22" s="9" t="n">
        <v>4.65</v>
      </c>
      <c r="Q22" s="10" t="n">
        <f aca="false">AVERAGE(G22:P22)</f>
        <v>4.576</v>
      </c>
      <c r="R22" s="10" t="n">
        <f aca="false">STDEV(G22:P22)</f>
        <v>0.251890628823084</v>
      </c>
      <c r="S22" s="11" t="n">
        <f aca="false">IF(Q22=0,"",R22/Q22)</f>
        <v>0.0550460290260237</v>
      </c>
      <c r="T22" s="10" t="n">
        <f aca="false">TINV(0.05,COUNT(G22:P22)-1)*R22/SQRT(COUNT(G22:P22))</f>
        <v>0.180191700877887</v>
      </c>
    </row>
    <row r="23" customFormat="false" ht="15" hidden="false" customHeight="false" outlineLevel="0" collapsed="false">
      <c r="A23" s="3" t="s">
        <v>84</v>
      </c>
      <c r="B23" s="3" t="s">
        <v>13</v>
      </c>
      <c r="C23" s="3" t="s">
        <v>18</v>
      </c>
      <c r="D23" s="3" t="s">
        <v>90</v>
      </c>
      <c r="E23" s="3" t="s">
        <v>20</v>
      </c>
      <c r="F23" s="3" t="s">
        <v>89</v>
      </c>
      <c r="G23" s="9" t="n">
        <v>5.98</v>
      </c>
      <c r="H23" s="9" t="n">
        <v>8.84</v>
      </c>
      <c r="I23" s="9" t="n">
        <v>9.25</v>
      </c>
      <c r="J23" s="9" t="n">
        <v>8.36</v>
      </c>
      <c r="K23" s="9" t="n">
        <v>7.52</v>
      </c>
      <c r="L23" s="9" t="n">
        <v>10.79</v>
      </c>
      <c r="M23" s="9" t="n">
        <v>5.33</v>
      </c>
      <c r="N23" s="9" t="n">
        <v>7.55</v>
      </c>
      <c r="O23" s="9" t="n">
        <v>5.97</v>
      </c>
      <c r="P23" s="9" t="n">
        <v>10.05</v>
      </c>
      <c r="Q23" s="10" t="n">
        <f aca="false">AVERAGE(G23:P23)</f>
        <v>7.964</v>
      </c>
      <c r="R23" s="10" t="n">
        <f aca="false">STDEV(G23:P23)</f>
        <v>1.82982816436711</v>
      </c>
      <c r="S23" s="11" t="n">
        <f aca="false">IF(Q23=0,"",R23/Q23)</f>
        <v>0.22976245157799</v>
      </c>
      <c r="T23" s="10" t="n">
        <f aca="false">TINV(0.05,COUNT(G23:P23)-1)*R23/SQRT(COUNT(G23:P23))</f>
        <v>1.30898021411964</v>
      </c>
    </row>
    <row r="24" customFormat="false" ht="15" hidden="false" customHeight="false" outlineLevel="0" collapsed="false">
      <c r="A24" s="3" t="s">
        <v>86</v>
      </c>
      <c r="B24" s="3" t="s">
        <v>13</v>
      </c>
      <c r="C24" s="3" t="s">
        <v>18</v>
      </c>
      <c r="D24" s="3" t="s">
        <v>90</v>
      </c>
      <c r="E24" s="3" t="s">
        <v>20</v>
      </c>
      <c r="F24" s="3" t="s">
        <v>89</v>
      </c>
      <c r="G24" s="9" t="n">
        <v>13.12</v>
      </c>
      <c r="H24" s="9" t="n">
        <v>13.16</v>
      </c>
      <c r="I24" s="9" t="n">
        <v>13.77</v>
      </c>
      <c r="J24" s="9" t="n">
        <v>23.41</v>
      </c>
      <c r="K24" s="9" t="n">
        <v>11.67</v>
      </c>
      <c r="L24" s="9" t="n">
        <v>11.73</v>
      </c>
      <c r="M24" s="9" t="n">
        <v>10.7</v>
      </c>
      <c r="N24" s="9" t="n">
        <v>9.66</v>
      </c>
      <c r="O24" s="9" t="n">
        <v>12.8</v>
      </c>
      <c r="P24" s="9" t="n">
        <v>14.55</v>
      </c>
      <c r="Q24" s="10" t="n">
        <f aca="false">AVERAGE(G24:P24)</f>
        <v>13.457</v>
      </c>
      <c r="R24" s="10" t="n">
        <f aca="false">STDEV(G24:P24)</f>
        <v>3.78861466912526</v>
      </c>
      <c r="S24" s="11" t="n">
        <f aca="false">IF(Q24=0,"",R24/Q24)</f>
        <v>0.281534864317847</v>
      </c>
      <c r="T24" s="10" t="n">
        <f aca="false">TINV(0.05,COUNT(G24:P24)-1)*R24/SQRT(COUNT(G24:P24))</f>
        <v>2.71021166762052</v>
      </c>
    </row>
    <row r="25" customFormat="false" ht="15" hidden="false" customHeight="false" outlineLevel="0" collapsed="false">
      <c r="A25" s="3" t="s">
        <v>87</v>
      </c>
      <c r="B25" s="3" t="s">
        <v>13</v>
      </c>
      <c r="C25" s="3" t="s">
        <v>18</v>
      </c>
      <c r="D25" s="3" t="s">
        <v>90</v>
      </c>
      <c r="E25" s="3" t="s">
        <v>20</v>
      </c>
      <c r="F25" s="3" t="s">
        <v>89</v>
      </c>
      <c r="G25" s="9" t="n">
        <v>6.61</v>
      </c>
      <c r="H25" s="9" t="n">
        <v>14.36</v>
      </c>
      <c r="I25" s="9" t="n">
        <v>16.44</v>
      </c>
      <c r="J25" s="9" t="n">
        <v>7.98</v>
      </c>
      <c r="K25" s="9" t="n">
        <v>12.5</v>
      </c>
      <c r="L25" s="9" t="n">
        <v>9.2</v>
      </c>
      <c r="M25" s="9" t="n">
        <v>5.4</v>
      </c>
      <c r="N25" s="9" t="n">
        <v>10.38</v>
      </c>
      <c r="O25" s="9" t="n">
        <v>9.12</v>
      </c>
      <c r="P25" s="9" t="n">
        <v>9.49</v>
      </c>
      <c r="Q25" s="10" t="n">
        <f aca="false">AVERAGE(G25:P25)</f>
        <v>10.148</v>
      </c>
      <c r="R25" s="10" t="n">
        <f aca="false">STDEV(G25:P25)</f>
        <v>3.41671642240194</v>
      </c>
      <c r="S25" s="11" t="n">
        <f aca="false">IF(Q25=0,"",R25/Q25)</f>
        <v>0.336688650216983</v>
      </c>
      <c r="T25" s="10" t="n">
        <f aca="false">TINV(0.05,COUNT(G25:P25)-1)*R25/SQRT(COUNT(G25:P25))</f>
        <v>2.44417168850861</v>
      </c>
    </row>
    <row r="26" customFormat="false" ht="15" hidden="false" customHeight="false" outlineLevel="0" collapsed="false">
      <c r="A26" s="3" t="s">
        <v>84</v>
      </c>
      <c r="B26" s="3" t="s">
        <v>22</v>
      </c>
      <c r="C26" s="3" t="s">
        <v>23</v>
      </c>
      <c r="D26" s="3" t="s">
        <v>90</v>
      </c>
      <c r="E26" s="3" t="s">
        <v>20</v>
      </c>
      <c r="F26" s="3" t="s">
        <v>89</v>
      </c>
      <c r="G26" s="9" t="n">
        <v>0.54</v>
      </c>
      <c r="H26" s="9" t="n">
        <v>1.15</v>
      </c>
      <c r="I26" s="9" t="n">
        <v>12.14</v>
      </c>
      <c r="J26" s="9" t="n">
        <v>2.47</v>
      </c>
      <c r="K26" s="9" t="n">
        <v>0.54</v>
      </c>
      <c r="L26" s="9" t="n">
        <v>4.5</v>
      </c>
      <c r="M26" s="9" t="n">
        <v>3.03</v>
      </c>
      <c r="N26" s="9" t="n">
        <v>2.13</v>
      </c>
      <c r="O26" s="9" t="n">
        <v>13.01</v>
      </c>
      <c r="P26" s="9" t="n">
        <v>2.43</v>
      </c>
      <c r="Q26" s="10" t="n">
        <f aca="false">AVERAGE(G26:P26)</f>
        <v>4.194</v>
      </c>
      <c r="R26" s="10" t="n">
        <f aca="false">STDEV(G26:P26)</f>
        <v>4.57799859230113</v>
      </c>
      <c r="S26" s="11" t="n">
        <f aca="false">IF(Q26=0,"",R26/Q26)</f>
        <v>1.09155903488344</v>
      </c>
      <c r="T26" s="10" t="n">
        <f aca="false">TINV(0.05,COUNT(G26:P26)-1)*R26/SQRT(COUNT(G26:P26))</f>
        <v>3.27490290852659</v>
      </c>
    </row>
    <row r="27" customFormat="false" ht="15" hidden="false" customHeight="false" outlineLevel="0" collapsed="false">
      <c r="A27" s="3" t="s">
        <v>87</v>
      </c>
      <c r="B27" s="3" t="s">
        <v>22</v>
      </c>
      <c r="C27" s="3" t="s">
        <v>23</v>
      </c>
      <c r="D27" s="3" t="s">
        <v>90</v>
      </c>
      <c r="E27" s="3" t="s">
        <v>20</v>
      </c>
      <c r="F27" s="3" t="s">
        <v>89</v>
      </c>
      <c r="G27" s="9" t="n">
        <v>3.71</v>
      </c>
      <c r="H27" s="9" t="n">
        <v>1.01</v>
      </c>
      <c r="I27" s="9" t="n">
        <v>6.21</v>
      </c>
      <c r="J27" s="9" t="n">
        <v>3.45</v>
      </c>
      <c r="K27" s="9" t="n">
        <v>4.47</v>
      </c>
      <c r="L27" s="9" t="n">
        <v>2.23</v>
      </c>
      <c r="M27" s="9" t="n">
        <v>4.07</v>
      </c>
      <c r="N27" s="9" t="n">
        <v>2.32</v>
      </c>
      <c r="O27" s="9" t="n">
        <v>3.17</v>
      </c>
      <c r="P27" s="9" t="n">
        <v>1.71</v>
      </c>
      <c r="Q27" s="10" t="n">
        <f aca="false">AVERAGE(G27:P27)</f>
        <v>3.235</v>
      </c>
      <c r="R27" s="10" t="n">
        <f aca="false">STDEV(G27:P27)</f>
        <v>1.50822375292557</v>
      </c>
      <c r="S27" s="11" t="n">
        <f aca="false">IF(Q27=0,"",R27/Q27)</f>
        <v>0.466220634598321</v>
      </c>
      <c r="T27" s="10" t="n">
        <f aca="false">TINV(0.05,COUNT(G27:P27)-1)*R27/SQRT(COUNT(G27:P27))</f>
        <v>1.0789182774043</v>
      </c>
    </row>
    <row r="28" customFormat="false" ht="15" hidden="false" customHeight="false" outlineLevel="0" collapsed="false">
      <c r="A28" s="3" t="s">
        <v>84</v>
      </c>
      <c r="B28" s="3" t="s">
        <v>22</v>
      </c>
      <c r="C28" s="3" t="s">
        <v>23</v>
      </c>
      <c r="D28" s="3" t="s">
        <v>24</v>
      </c>
      <c r="E28" s="3" t="s">
        <v>25</v>
      </c>
      <c r="F28" s="3" t="s">
        <v>85</v>
      </c>
      <c r="G28" s="9" t="n">
        <v>4482.65</v>
      </c>
      <c r="H28" s="9" t="n">
        <v>4211.29</v>
      </c>
      <c r="I28" s="9" t="n">
        <v>3743.12</v>
      </c>
      <c r="J28" s="9" t="n">
        <v>4487.75</v>
      </c>
      <c r="K28" s="9" t="n">
        <v>4014.04</v>
      </c>
      <c r="L28" s="9" t="n">
        <v>4328.46</v>
      </c>
      <c r="M28" s="9" t="n">
        <v>4363.88</v>
      </c>
      <c r="N28" s="9" t="n">
        <v>4080.62</v>
      </c>
      <c r="O28" s="9" t="n">
        <v>3979.37</v>
      </c>
      <c r="P28" s="9" t="n">
        <v>4565.45</v>
      </c>
      <c r="Q28" s="10" t="n">
        <f aca="false">AVERAGE(G28:P28)</f>
        <v>4225.663</v>
      </c>
      <c r="R28" s="10" t="n">
        <f aca="false">STDEV(G28:P28)</f>
        <v>266.540515829937</v>
      </c>
      <c r="S28" s="11" t="n">
        <f aca="false">IF(Q28=0,"",R28/Q28)</f>
        <v>0.0630766144460495</v>
      </c>
      <c r="T28" s="10" t="n">
        <f aca="false">TINV(0.05,COUNT(G28:P28)-1)*R28/SQRT(COUNT(G28:P28))</f>
        <v>190.671598719929</v>
      </c>
    </row>
    <row r="29" customFormat="false" ht="15" hidden="false" customHeight="false" outlineLevel="0" collapsed="false">
      <c r="A29" s="3" t="s">
        <v>87</v>
      </c>
      <c r="B29" s="3" t="s">
        <v>22</v>
      </c>
      <c r="C29" s="3" t="s">
        <v>23</v>
      </c>
      <c r="D29" s="3" t="s">
        <v>24</v>
      </c>
      <c r="E29" s="3" t="s">
        <v>25</v>
      </c>
      <c r="F29" s="3" t="s">
        <v>85</v>
      </c>
      <c r="G29" s="9" t="n">
        <v>4321.65</v>
      </c>
      <c r="H29" s="9" t="n">
        <v>4449.36</v>
      </c>
      <c r="I29" s="9" t="n">
        <v>4443.48</v>
      </c>
      <c r="J29" s="9" t="n">
        <v>4445.27</v>
      </c>
      <c r="K29" s="9" t="n">
        <v>4157.78</v>
      </c>
      <c r="L29" s="9" t="n">
        <v>4385.33</v>
      </c>
      <c r="M29" s="9" t="n">
        <v>3992.8</v>
      </c>
      <c r="N29" s="9" t="n">
        <v>4290.97</v>
      </c>
      <c r="O29" s="9" t="n">
        <v>4427.67</v>
      </c>
      <c r="P29" s="9" t="n">
        <v>4541.82</v>
      </c>
      <c r="Q29" s="10" t="n">
        <f aca="false">AVERAGE(G29:P29)</f>
        <v>4345.613</v>
      </c>
      <c r="R29" s="10" t="n">
        <f aca="false">STDEV(G29:P29)</f>
        <v>163.435076205949</v>
      </c>
      <c r="S29" s="11" t="n">
        <f aca="false">IF(Q29=0,"",R29/Q29)</f>
        <v>0.0376092109918553</v>
      </c>
      <c r="T29" s="10" t="n">
        <f aca="false">TINV(0.05,COUNT(G29:P29)-1)*R29/SQRT(COUNT(G29:P29))</f>
        <v>116.914410441768</v>
      </c>
    </row>
    <row r="30" customFormat="false" ht="15" hidden="false" customHeight="false" outlineLevel="0" collapsed="false">
      <c r="A30" s="3" t="s">
        <v>84</v>
      </c>
      <c r="B30" s="3" t="s">
        <v>22</v>
      </c>
      <c r="C30" s="3" t="s">
        <v>23</v>
      </c>
      <c r="D30" s="3" t="s">
        <v>91</v>
      </c>
      <c r="E30" s="3" t="s">
        <v>92</v>
      </c>
      <c r="F30" s="3" t="s">
        <v>85</v>
      </c>
      <c r="G30" s="9" t="n">
        <v>4590232.38</v>
      </c>
      <c r="H30" s="9" t="n">
        <v>4312362.71</v>
      </c>
      <c r="I30" s="9" t="n">
        <v>3832955.7</v>
      </c>
      <c r="J30" s="9" t="n">
        <v>4595459.19</v>
      </c>
      <c r="K30" s="9" t="n">
        <v>4110375.86</v>
      </c>
      <c r="L30" s="9" t="n">
        <v>4432344.47</v>
      </c>
      <c r="M30" s="9" t="n">
        <v>4468616.42</v>
      </c>
      <c r="N30" s="9" t="n">
        <v>4178556.21</v>
      </c>
      <c r="O30" s="9" t="n">
        <v>4074874.5</v>
      </c>
      <c r="P30" s="9" t="n">
        <v>4675019.5</v>
      </c>
      <c r="Q30" s="10" t="n">
        <f aca="false">AVERAGE(G30:P30)</f>
        <v>4327079.694</v>
      </c>
      <c r="R30" s="10" t="n">
        <f aca="false">STDEV(G30:P30)</f>
        <v>272937.653525819</v>
      </c>
      <c r="S30" s="11" t="n">
        <f aca="false">IF(Q30=0,"",R30/Q30)</f>
        <v>0.0630766412516688</v>
      </c>
      <c r="T30" s="10" t="n">
        <f aca="false">TINV(0.05,COUNT(G30:P30)-1)*R30/SQRT(COUNT(G30:P30))</f>
        <v>195247.835349123</v>
      </c>
    </row>
    <row r="31" customFormat="false" ht="15" hidden="false" customHeight="false" outlineLevel="0" collapsed="false">
      <c r="A31" s="3" t="s">
        <v>87</v>
      </c>
      <c r="B31" s="3" t="s">
        <v>22</v>
      </c>
      <c r="C31" s="3" t="s">
        <v>23</v>
      </c>
      <c r="D31" s="3" t="s">
        <v>91</v>
      </c>
      <c r="E31" s="3" t="s">
        <v>92</v>
      </c>
      <c r="F31" s="3" t="s">
        <v>85</v>
      </c>
      <c r="G31" s="9" t="n">
        <v>4425367.89</v>
      </c>
      <c r="H31" s="9" t="n">
        <v>4556146.79</v>
      </c>
      <c r="I31" s="9" t="n">
        <v>4550125.9</v>
      </c>
      <c r="J31" s="9" t="n">
        <v>4551960.96</v>
      </c>
      <c r="K31" s="9" t="n">
        <v>4257566.72</v>
      </c>
      <c r="L31" s="9" t="n">
        <v>4490574.61</v>
      </c>
      <c r="M31" s="9" t="n">
        <v>4088630.54</v>
      </c>
      <c r="N31" s="9" t="n">
        <v>4393950.52</v>
      </c>
      <c r="O31" s="9" t="n">
        <v>4533934.23</v>
      </c>
      <c r="P31" s="9" t="n">
        <v>4650819.58</v>
      </c>
      <c r="Q31" s="10" t="n">
        <f aca="false">AVERAGE(G31:P31)</f>
        <v>4449907.774</v>
      </c>
      <c r="R31" s="10" t="n">
        <f aca="false">STDEV(G31:P31)</f>
        <v>167356.832932636</v>
      </c>
      <c r="S31" s="11" t="n">
        <f aca="false">IF(Q31=0,"",R31/Q31)</f>
        <v>0.0376090565090969</v>
      </c>
      <c r="T31" s="10" t="n">
        <f aca="false">TINV(0.05,COUNT(G31:P31)-1)*R31/SQRT(COUNT(G31:P31))</f>
        <v>119719.86619974</v>
      </c>
    </row>
    <row r="32" customFormat="false" ht="15" hidden="false" customHeight="false" outlineLevel="0" collapsed="false">
      <c r="A32" s="3" t="s">
        <v>84</v>
      </c>
      <c r="B32" s="3" t="s">
        <v>22</v>
      </c>
      <c r="C32" s="3" t="s">
        <v>26</v>
      </c>
      <c r="D32" s="3" t="s">
        <v>88</v>
      </c>
      <c r="E32" s="3" t="s">
        <v>20</v>
      </c>
      <c r="F32" s="3" t="s">
        <v>89</v>
      </c>
      <c r="G32" s="9" t="n">
        <v>0.07</v>
      </c>
      <c r="H32" s="9" t="n">
        <v>0.07</v>
      </c>
      <c r="I32" s="9" t="n">
        <v>0.07</v>
      </c>
      <c r="J32" s="9" t="n">
        <v>0.07</v>
      </c>
      <c r="K32" s="9" t="n">
        <v>0.07</v>
      </c>
      <c r="L32" s="9" t="n">
        <v>0.07</v>
      </c>
      <c r="M32" s="9" t="n">
        <v>0.07</v>
      </c>
      <c r="N32" s="9" t="n">
        <v>0.07</v>
      </c>
      <c r="O32" s="9" t="n">
        <v>0.07</v>
      </c>
      <c r="P32" s="9" t="n">
        <v>0.07</v>
      </c>
      <c r="Q32" s="10" t="n">
        <f aca="false">AVERAGE(G32:P32)</f>
        <v>0.07</v>
      </c>
      <c r="R32" s="10" t="n">
        <f aca="false">STDEV(G32:P32)</f>
        <v>0</v>
      </c>
      <c r="S32" s="11" t="n">
        <f aca="false">IF(Q32=0,"",R32/Q32)</f>
        <v>0</v>
      </c>
      <c r="T32" s="10" t="n">
        <f aca="false">TINV(0.05,COUNT(G32:P32)-1)*R32/SQRT(COUNT(G32:P32))</f>
        <v>0</v>
      </c>
    </row>
    <row r="33" customFormat="false" ht="15" hidden="false" customHeight="false" outlineLevel="0" collapsed="false">
      <c r="A33" s="3" t="s">
        <v>87</v>
      </c>
      <c r="B33" s="3" t="s">
        <v>22</v>
      </c>
      <c r="C33" s="3" t="s">
        <v>26</v>
      </c>
      <c r="D33" s="3" t="s">
        <v>88</v>
      </c>
      <c r="E33" s="3" t="s">
        <v>20</v>
      </c>
      <c r="F33" s="3" t="s">
        <v>89</v>
      </c>
      <c r="G33" s="9" t="n">
        <v>0.07</v>
      </c>
      <c r="H33" s="9" t="n">
        <v>0.06</v>
      </c>
      <c r="I33" s="9" t="n">
        <v>0.08</v>
      </c>
      <c r="J33" s="9" t="n">
        <v>0.07</v>
      </c>
      <c r="K33" s="9" t="n">
        <v>0.07</v>
      </c>
      <c r="L33" s="9" t="n">
        <v>0.06</v>
      </c>
      <c r="M33" s="9" t="n">
        <v>0.07</v>
      </c>
      <c r="N33" s="9" t="n">
        <v>0.07</v>
      </c>
      <c r="O33" s="9" t="n">
        <v>0.07</v>
      </c>
      <c r="P33" s="9" t="n">
        <v>0.07</v>
      </c>
      <c r="Q33" s="10" t="n">
        <f aca="false">AVERAGE(G33:P33)</f>
        <v>0.069</v>
      </c>
      <c r="R33" s="10" t="n">
        <f aca="false">STDEV(G33:P33)</f>
        <v>0.00567646212197547</v>
      </c>
      <c r="S33" s="11" t="n">
        <f aca="false">IF(Q33=0,"",R33/Q33)</f>
        <v>0.0822675669851517</v>
      </c>
      <c r="T33" s="10" t="n">
        <f aca="false">TINV(0.05,COUNT(G33:P33)-1)*R33/SQRT(COUNT(G33:P33))</f>
        <v>0.00406069638043605</v>
      </c>
    </row>
    <row r="34" customFormat="false" ht="15" hidden="false" customHeight="false" outlineLevel="0" collapsed="false">
      <c r="A34" s="3" t="s">
        <v>84</v>
      </c>
      <c r="B34" s="3" t="s">
        <v>22</v>
      </c>
      <c r="C34" s="3" t="s">
        <v>26</v>
      </c>
      <c r="D34" s="3" t="s">
        <v>19</v>
      </c>
      <c r="E34" s="3" t="s">
        <v>20</v>
      </c>
      <c r="F34" s="3" t="s">
        <v>89</v>
      </c>
      <c r="G34" s="9" t="n">
        <v>0.09</v>
      </c>
      <c r="H34" s="9" t="n">
        <v>0.1</v>
      </c>
      <c r="I34" s="9" t="n">
        <v>0.09</v>
      </c>
      <c r="J34" s="9" t="n">
        <v>0.09</v>
      </c>
      <c r="K34" s="9" t="n">
        <v>0.1</v>
      </c>
      <c r="L34" s="9" t="n">
        <v>0.09</v>
      </c>
      <c r="M34" s="9" t="n">
        <v>0.1</v>
      </c>
      <c r="N34" s="9" t="n">
        <v>0.1</v>
      </c>
      <c r="O34" s="9" t="n">
        <v>0.09</v>
      </c>
      <c r="P34" s="9" t="n">
        <v>0.1</v>
      </c>
      <c r="Q34" s="10" t="n">
        <f aca="false">AVERAGE(G34:P34)</f>
        <v>0.095</v>
      </c>
      <c r="R34" s="10" t="n">
        <f aca="false">STDEV(G34:P34)</f>
        <v>0.0052704627669473</v>
      </c>
      <c r="S34" s="11" t="n">
        <f aca="false">IF(Q34=0,"",R34/Q34)</f>
        <v>0.0554785554415506</v>
      </c>
      <c r="T34" s="10" t="n">
        <f aca="false">TINV(0.05,COUNT(G34:P34)-1)*R34/SQRT(COUNT(G34:P34))</f>
        <v>0.00377026193799701</v>
      </c>
    </row>
    <row r="35" customFormat="false" ht="15" hidden="false" customHeight="false" outlineLevel="0" collapsed="false">
      <c r="A35" s="3" t="s">
        <v>87</v>
      </c>
      <c r="B35" s="3" t="s">
        <v>22</v>
      </c>
      <c r="C35" s="3" t="s">
        <v>26</v>
      </c>
      <c r="D35" s="3" t="s">
        <v>19</v>
      </c>
      <c r="E35" s="3" t="s">
        <v>20</v>
      </c>
      <c r="F35" s="3" t="s">
        <v>89</v>
      </c>
      <c r="G35" s="9" t="n">
        <v>0.1</v>
      </c>
      <c r="H35" s="9" t="n">
        <v>0.09</v>
      </c>
      <c r="I35" s="9" t="n">
        <v>0.1</v>
      </c>
      <c r="J35" s="9" t="n">
        <v>0.1</v>
      </c>
      <c r="K35" s="9" t="n">
        <v>0.11</v>
      </c>
      <c r="L35" s="9" t="n">
        <v>0.09</v>
      </c>
      <c r="M35" s="9" t="n">
        <v>0.09</v>
      </c>
      <c r="N35" s="9" t="n">
        <v>0.1</v>
      </c>
      <c r="O35" s="9" t="n">
        <v>0.09</v>
      </c>
      <c r="P35" s="9" t="n">
        <v>0.09</v>
      </c>
      <c r="Q35" s="10" t="n">
        <f aca="false">AVERAGE(G35:P35)</f>
        <v>0.096</v>
      </c>
      <c r="R35" s="10" t="n">
        <f aca="false">STDEV(G35:P35)</f>
        <v>0.00699205898780101</v>
      </c>
      <c r="S35" s="11" t="n">
        <f aca="false">IF(Q35=0,"",R35/Q35)</f>
        <v>0.0728339477895939</v>
      </c>
      <c r="T35" s="10" t="n">
        <f aca="false">TINV(0.05,COUNT(G35:P35)-1)*R35/SQRT(COUNT(G35:P35))</f>
        <v>0.00500181768387771</v>
      </c>
    </row>
    <row r="36" customFormat="false" ht="15" hidden="false" customHeight="false" outlineLevel="0" collapsed="false">
      <c r="A36" s="3" t="s">
        <v>84</v>
      </c>
      <c r="B36" s="3" t="s">
        <v>22</v>
      </c>
      <c r="C36" s="3" t="s">
        <v>26</v>
      </c>
      <c r="D36" s="3" t="s">
        <v>90</v>
      </c>
      <c r="E36" s="3" t="s">
        <v>20</v>
      </c>
      <c r="F36" s="3" t="s">
        <v>89</v>
      </c>
      <c r="G36" s="9" t="n">
        <v>0.74</v>
      </c>
      <c r="H36" s="9" t="n">
        <v>11.7</v>
      </c>
      <c r="I36" s="9" t="n">
        <v>10.68</v>
      </c>
      <c r="J36" s="9" t="n">
        <v>11.43</v>
      </c>
      <c r="K36" s="9" t="n">
        <v>0.53</v>
      </c>
      <c r="L36" s="9" t="n">
        <v>2.28</v>
      </c>
      <c r="M36" s="9" t="n">
        <v>3.24</v>
      </c>
      <c r="N36" s="9" t="n">
        <v>4.87</v>
      </c>
      <c r="O36" s="9" t="n">
        <v>4.64</v>
      </c>
      <c r="P36" s="9" t="n">
        <v>11.32</v>
      </c>
      <c r="Q36" s="10" t="n">
        <f aca="false">AVERAGE(G36:P36)</f>
        <v>6.143</v>
      </c>
      <c r="R36" s="10" t="n">
        <f aca="false">STDEV(G36:P36)</f>
        <v>4.64454530725141</v>
      </c>
      <c r="S36" s="11" t="n">
        <f aca="false">IF(Q36=0,"",R36/Q36)</f>
        <v>0.756071187897023</v>
      </c>
      <c r="T36" s="10" t="n">
        <f aca="false">TINV(0.05,COUNT(G36:P36)-1)*R36/SQRT(COUNT(G36:P36))</f>
        <v>3.32250756063594</v>
      </c>
    </row>
    <row r="37" customFormat="false" ht="15" hidden="false" customHeight="false" outlineLevel="0" collapsed="false">
      <c r="A37" s="3" t="s">
        <v>87</v>
      </c>
      <c r="B37" s="3" t="s">
        <v>22</v>
      </c>
      <c r="C37" s="3" t="s">
        <v>26</v>
      </c>
      <c r="D37" s="3" t="s">
        <v>90</v>
      </c>
      <c r="E37" s="3" t="s">
        <v>20</v>
      </c>
      <c r="F37" s="3" t="s">
        <v>89</v>
      </c>
      <c r="G37" s="9" t="n">
        <v>1.55</v>
      </c>
      <c r="H37" s="9" t="n">
        <v>2.3</v>
      </c>
      <c r="I37" s="9" t="n">
        <v>297.42</v>
      </c>
      <c r="J37" s="9" t="n">
        <v>2.16</v>
      </c>
      <c r="K37" s="9" t="n">
        <v>3.72</v>
      </c>
      <c r="L37" s="9" t="n">
        <v>1.73</v>
      </c>
      <c r="M37" s="9" t="n">
        <v>7.64</v>
      </c>
      <c r="N37" s="9" t="n">
        <v>6.88</v>
      </c>
      <c r="O37" s="9" t="n">
        <v>3.64</v>
      </c>
      <c r="P37" s="9" t="n">
        <v>2.52</v>
      </c>
      <c r="Q37" s="10" t="n">
        <f aca="false">AVERAGE(G37:P37)</f>
        <v>32.956</v>
      </c>
      <c r="R37" s="10" t="n">
        <f aca="false">STDEV(G37:P37)</f>
        <v>92.9469205992802</v>
      </c>
      <c r="S37" s="11" t="n">
        <f aca="false">IF(Q37=0,"",R37/Q37)</f>
        <v>2.82033379655541</v>
      </c>
      <c r="T37" s="10" t="n">
        <f aca="false">TINV(0.05,COUNT(G37:P37)-1)*R37/SQRT(COUNT(G37:P37))</f>
        <v>66.4902215394021</v>
      </c>
    </row>
    <row r="38" customFormat="false" ht="15" hidden="false" customHeight="false" outlineLevel="0" collapsed="false">
      <c r="A38" s="3" t="s">
        <v>84</v>
      </c>
      <c r="B38" s="3" t="s">
        <v>22</v>
      </c>
      <c r="C38" s="3" t="s">
        <v>26</v>
      </c>
      <c r="D38" s="3" t="s">
        <v>24</v>
      </c>
      <c r="E38" s="3" t="s">
        <v>25</v>
      </c>
      <c r="F38" s="3" t="s">
        <v>85</v>
      </c>
      <c r="G38" s="9" t="n">
        <v>30141.66</v>
      </c>
      <c r="H38" s="9" t="n">
        <v>29109.2</v>
      </c>
      <c r="I38" s="9" t="n">
        <v>29329.69</v>
      </c>
      <c r="J38" s="9" t="n">
        <v>29360.37</v>
      </c>
      <c r="K38" s="9" t="n">
        <v>29078.3</v>
      </c>
      <c r="L38" s="9" t="n">
        <v>29644.53</v>
      </c>
      <c r="M38" s="9" t="n">
        <v>28081.96</v>
      </c>
      <c r="N38" s="9" t="n">
        <v>29232.66</v>
      </c>
      <c r="O38" s="9" t="n">
        <v>30088.56</v>
      </c>
      <c r="P38" s="9" t="n">
        <v>27332.61</v>
      </c>
      <c r="Q38" s="10" t="n">
        <f aca="false">AVERAGE(G38:P38)</f>
        <v>29139.954</v>
      </c>
      <c r="R38" s="10" t="n">
        <f aca="false">STDEV(G38:P38)</f>
        <v>859.045544080432</v>
      </c>
      <c r="S38" s="11" t="n">
        <f aca="false">IF(Q38=0,"",R38/Q38)</f>
        <v>0.0294799897103623</v>
      </c>
      <c r="T38" s="10" t="n">
        <f aca="false">TINV(0.05,COUNT(G38:P38)-1)*R38/SQRT(COUNT(G38:P38))</f>
        <v>614.524162501264</v>
      </c>
    </row>
    <row r="39" customFormat="false" ht="15" hidden="false" customHeight="false" outlineLevel="0" collapsed="false">
      <c r="A39" s="3" t="s">
        <v>87</v>
      </c>
      <c r="B39" s="3" t="s">
        <v>22</v>
      </c>
      <c r="C39" s="3" t="s">
        <v>26</v>
      </c>
      <c r="D39" s="3" t="s">
        <v>24</v>
      </c>
      <c r="E39" s="3" t="s">
        <v>25</v>
      </c>
      <c r="F39" s="3" t="s">
        <v>85</v>
      </c>
      <c r="G39" s="9" t="n">
        <v>28237.5</v>
      </c>
      <c r="H39" s="9" t="n">
        <v>31186.08</v>
      </c>
      <c r="I39" s="9" t="n">
        <v>23945.94</v>
      </c>
      <c r="J39" s="9" t="n">
        <v>28576.87</v>
      </c>
      <c r="K39" s="9" t="n">
        <v>27034.32</v>
      </c>
      <c r="L39" s="9" t="n">
        <v>30617.27</v>
      </c>
      <c r="M39" s="9" t="n">
        <v>29778.71</v>
      </c>
      <c r="N39" s="9" t="n">
        <v>29024.76</v>
      </c>
      <c r="O39" s="9" t="n">
        <v>30559.05</v>
      </c>
      <c r="P39" s="9" t="n">
        <v>29439.25</v>
      </c>
      <c r="Q39" s="10" t="n">
        <f aca="false">AVERAGE(G39:P39)</f>
        <v>28839.975</v>
      </c>
      <c r="R39" s="10" t="n">
        <f aca="false">STDEV(G39:P39)</f>
        <v>2122.28580630126</v>
      </c>
      <c r="S39" s="11" t="n">
        <f aca="false">IF(Q39=0,"",R39/Q39)</f>
        <v>0.0735883372402805</v>
      </c>
      <c r="T39" s="10" t="n">
        <f aca="false">TINV(0.05,COUNT(G39:P39)-1)*R39/SQRT(COUNT(G39:P39))</f>
        <v>1518.19180798113</v>
      </c>
    </row>
    <row r="40" customFormat="false" ht="15" hidden="false" customHeight="false" outlineLevel="0" collapsed="false">
      <c r="A40" s="3" t="s">
        <v>84</v>
      </c>
      <c r="B40" s="3" t="s">
        <v>22</v>
      </c>
      <c r="C40" s="3" t="s">
        <v>26</v>
      </c>
      <c r="D40" s="3" t="s">
        <v>91</v>
      </c>
      <c r="E40" s="3" t="s">
        <v>92</v>
      </c>
      <c r="F40" s="3" t="s">
        <v>85</v>
      </c>
      <c r="G40" s="9" t="n">
        <v>30141.66</v>
      </c>
      <c r="H40" s="9" t="n">
        <v>29109.2</v>
      </c>
      <c r="I40" s="9" t="n">
        <v>29329.69</v>
      </c>
      <c r="J40" s="9" t="n">
        <v>29360.37</v>
      </c>
      <c r="K40" s="9" t="n">
        <v>29078.3</v>
      </c>
      <c r="L40" s="9" t="n">
        <v>29644.53</v>
      </c>
      <c r="M40" s="9" t="n">
        <v>28081.96</v>
      </c>
      <c r="N40" s="9" t="n">
        <v>29232.66</v>
      </c>
      <c r="O40" s="9" t="n">
        <v>30088.56</v>
      </c>
      <c r="P40" s="9" t="n">
        <v>27332.61</v>
      </c>
      <c r="Q40" s="10" t="n">
        <f aca="false">AVERAGE(G40:P40)</f>
        <v>29139.954</v>
      </c>
      <c r="R40" s="10" t="n">
        <f aca="false">STDEV(G40:P40)</f>
        <v>859.045544080432</v>
      </c>
      <c r="S40" s="11" t="n">
        <f aca="false">IF(Q40=0,"",R40/Q40)</f>
        <v>0.0294799897103623</v>
      </c>
      <c r="T40" s="10" t="n">
        <f aca="false">TINV(0.05,COUNT(G40:P40)-1)*R40/SQRT(COUNT(G40:P40))</f>
        <v>614.524162501264</v>
      </c>
    </row>
    <row r="41" customFormat="false" ht="15" hidden="false" customHeight="false" outlineLevel="0" collapsed="false">
      <c r="A41" s="3" t="s">
        <v>87</v>
      </c>
      <c r="B41" s="3" t="s">
        <v>22</v>
      </c>
      <c r="C41" s="3" t="s">
        <v>26</v>
      </c>
      <c r="D41" s="3" t="s">
        <v>91</v>
      </c>
      <c r="E41" s="3" t="s">
        <v>92</v>
      </c>
      <c r="F41" s="3" t="s">
        <v>85</v>
      </c>
      <c r="G41" s="9" t="n">
        <v>28237.5</v>
      </c>
      <c r="H41" s="9" t="n">
        <v>31186.08</v>
      </c>
      <c r="I41" s="9" t="n">
        <v>23945.94</v>
      </c>
      <c r="J41" s="9" t="n">
        <v>28576.87</v>
      </c>
      <c r="K41" s="9" t="n">
        <v>27034.32</v>
      </c>
      <c r="L41" s="9" t="n">
        <v>30617.27</v>
      </c>
      <c r="M41" s="9" t="n">
        <v>29778.71</v>
      </c>
      <c r="N41" s="9" t="n">
        <v>29024.76</v>
      </c>
      <c r="O41" s="9" t="n">
        <v>30559.05</v>
      </c>
      <c r="P41" s="9" t="n">
        <v>29439.25</v>
      </c>
      <c r="Q41" s="10" t="n">
        <f aca="false">AVERAGE(G41:P41)</f>
        <v>28839.975</v>
      </c>
      <c r="R41" s="10" t="n">
        <f aca="false">STDEV(G41:P41)</f>
        <v>2122.28580630126</v>
      </c>
      <c r="S41" s="11" t="n">
        <f aca="false">IF(Q41=0,"",R41/Q41)</f>
        <v>0.0735883372402805</v>
      </c>
      <c r="T41" s="10" t="n">
        <f aca="false">TINV(0.05,COUNT(G41:P41)-1)*R41/SQRT(COUNT(G41:P41))</f>
        <v>1518.19180798113</v>
      </c>
    </row>
    <row r="42" customFormat="false" ht="15" hidden="false" customHeight="false" outlineLevel="0" collapsed="false">
      <c r="A42" s="3" t="s">
        <v>84</v>
      </c>
      <c r="B42" s="3" t="s">
        <v>22</v>
      </c>
      <c r="C42" s="3" t="s">
        <v>27</v>
      </c>
      <c r="D42" s="3" t="s">
        <v>88</v>
      </c>
      <c r="E42" s="3" t="s">
        <v>20</v>
      </c>
      <c r="F42" s="3" t="s">
        <v>89</v>
      </c>
      <c r="G42" s="9" t="n">
        <v>0.08</v>
      </c>
      <c r="H42" s="9" t="n">
        <v>0.09</v>
      </c>
      <c r="I42" s="9" t="n">
        <v>0.09</v>
      </c>
      <c r="J42" s="9" t="n">
        <v>0.09</v>
      </c>
      <c r="K42" s="9" t="n">
        <v>0.09</v>
      </c>
      <c r="L42" s="9" t="n">
        <v>0.09</v>
      </c>
      <c r="M42" s="9" t="n">
        <v>0.1</v>
      </c>
      <c r="N42" s="9" t="n">
        <v>0.09</v>
      </c>
      <c r="O42" s="9" t="n">
        <v>0.09</v>
      </c>
      <c r="P42" s="9" t="n">
        <v>0.09</v>
      </c>
      <c r="Q42" s="10" t="n">
        <f aca="false">AVERAGE(G42:P42)</f>
        <v>0.09</v>
      </c>
      <c r="R42" s="10" t="n">
        <f aca="false">STDEV(G42:P42)</f>
        <v>0.00471404520791032</v>
      </c>
      <c r="S42" s="11" t="n">
        <f aca="false">IF(Q42=0,"",R42/Q42)</f>
        <v>0.0523782800878924</v>
      </c>
      <c r="T42" s="10" t="n">
        <f aca="false">TINV(0.05,COUNT(G42:P42)-1)*R42/SQRT(COUNT(G42:P42))</f>
        <v>0.00337222479453656</v>
      </c>
    </row>
    <row r="43" customFormat="false" ht="15" hidden="false" customHeight="false" outlineLevel="0" collapsed="false">
      <c r="A43" s="3" t="s">
        <v>87</v>
      </c>
      <c r="B43" s="3" t="s">
        <v>22</v>
      </c>
      <c r="C43" s="3" t="s">
        <v>27</v>
      </c>
      <c r="D43" s="3" t="s">
        <v>88</v>
      </c>
      <c r="E43" s="3" t="s">
        <v>20</v>
      </c>
      <c r="F43" s="3" t="s">
        <v>89</v>
      </c>
      <c r="G43" s="9" t="n">
        <v>0.08</v>
      </c>
      <c r="H43" s="9" t="n">
        <v>0.08</v>
      </c>
      <c r="I43" s="9" t="n">
        <v>0.11</v>
      </c>
      <c r="J43" s="9" t="n">
        <v>0.11</v>
      </c>
      <c r="K43" s="9" t="n">
        <v>0.1</v>
      </c>
      <c r="L43" s="9" t="n">
        <v>0.08</v>
      </c>
      <c r="M43" s="9" t="n">
        <v>0.09</v>
      </c>
      <c r="N43" s="9" t="n">
        <v>0.09</v>
      </c>
      <c r="O43" s="9" t="n">
        <v>0.08</v>
      </c>
      <c r="P43" s="9" t="n">
        <v>0.08</v>
      </c>
      <c r="Q43" s="10" t="n">
        <f aca="false">AVERAGE(G43:P43)</f>
        <v>0.09</v>
      </c>
      <c r="R43" s="10" t="n">
        <f aca="false">STDEV(G43:P43)</f>
        <v>0.0124721912892465</v>
      </c>
      <c r="S43" s="11" t="n">
        <f aca="false">IF(Q43=0,"",R43/Q43)</f>
        <v>0.13857990321385</v>
      </c>
      <c r="T43" s="10" t="n">
        <f aca="false">TINV(0.05,COUNT(G43:P43)-1)*R43/SQRT(COUNT(G43:P43))</f>
        <v>0.00892206817134963</v>
      </c>
    </row>
    <row r="44" customFormat="false" ht="15" hidden="false" customHeight="false" outlineLevel="0" collapsed="false">
      <c r="A44" s="3" t="s">
        <v>84</v>
      </c>
      <c r="B44" s="3" t="s">
        <v>22</v>
      </c>
      <c r="C44" s="3" t="s">
        <v>27</v>
      </c>
      <c r="D44" s="3" t="s">
        <v>19</v>
      </c>
      <c r="E44" s="3" t="s">
        <v>20</v>
      </c>
      <c r="F44" s="3" t="s">
        <v>89</v>
      </c>
      <c r="G44" s="9" t="n">
        <v>0.15</v>
      </c>
      <c r="H44" s="9" t="n">
        <v>0.15</v>
      </c>
      <c r="I44" s="9" t="n">
        <v>0.15</v>
      </c>
      <c r="J44" s="9" t="n">
        <v>0.15</v>
      </c>
      <c r="K44" s="9" t="n">
        <v>0.15</v>
      </c>
      <c r="L44" s="9" t="n">
        <v>0.16</v>
      </c>
      <c r="M44" s="9" t="n">
        <v>0.15</v>
      </c>
      <c r="N44" s="9" t="n">
        <v>0.15</v>
      </c>
      <c r="O44" s="9" t="n">
        <v>0.15</v>
      </c>
      <c r="P44" s="9" t="n">
        <v>0.15</v>
      </c>
      <c r="Q44" s="10" t="n">
        <f aca="false">AVERAGE(G44:P44)</f>
        <v>0.151</v>
      </c>
      <c r="R44" s="10" t="n">
        <f aca="false">STDEV(G44:P44)</f>
        <v>0.00316227766016838</v>
      </c>
      <c r="S44" s="11" t="n">
        <f aca="false">IF(Q44=0,"",R44/Q44)</f>
        <v>0.0209422361600555</v>
      </c>
      <c r="T44" s="10" t="n">
        <f aca="false">TINV(0.05,COUNT(G44:P44)-1)*R44/SQRT(COUNT(G44:P44))</f>
        <v>0.00226215716279821</v>
      </c>
    </row>
    <row r="45" customFormat="false" ht="15" hidden="false" customHeight="false" outlineLevel="0" collapsed="false">
      <c r="A45" s="3" t="s">
        <v>87</v>
      </c>
      <c r="B45" s="3" t="s">
        <v>22</v>
      </c>
      <c r="C45" s="3" t="s">
        <v>27</v>
      </c>
      <c r="D45" s="3" t="s">
        <v>19</v>
      </c>
      <c r="E45" s="3" t="s">
        <v>20</v>
      </c>
      <c r="F45" s="3" t="s">
        <v>89</v>
      </c>
      <c r="G45" s="9" t="n">
        <v>0.12</v>
      </c>
      <c r="H45" s="9" t="n">
        <v>0.15</v>
      </c>
      <c r="I45" s="9" t="n">
        <v>0.15</v>
      </c>
      <c r="J45" s="9" t="n">
        <v>0.17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0.14</v>
      </c>
      <c r="P45" s="9" t="n">
        <v>0.15</v>
      </c>
      <c r="Q45" s="10" t="n">
        <f aca="false">AVERAGE(G45:P45)</f>
        <v>0.148</v>
      </c>
      <c r="R45" s="10" t="n">
        <f aca="false">STDEV(G45:P45)</f>
        <v>0.0122927259430572</v>
      </c>
      <c r="S45" s="11" t="n">
        <f aca="false">IF(Q45=0,"",R45/Q45)</f>
        <v>0.0830589590747107</v>
      </c>
      <c r="T45" s="10" t="n">
        <f aca="false">TINV(0.05,COUNT(G45:P45)-1)*R45/SQRT(COUNT(G45:P45))</f>
        <v>0.00879368639657071</v>
      </c>
    </row>
    <row r="46" customFormat="false" ht="15" hidden="false" customHeight="false" outlineLevel="0" collapsed="false">
      <c r="A46" s="3" t="s">
        <v>84</v>
      </c>
      <c r="B46" s="3" t="s">
        <v>22</v>
      </c>
      <c r="C46" s="3" t="s">
        <v>27</v>
      </c>
      <c r="D46" s="3" t="s">
        <v>90</v>
      </c>
      <c r="E46" s="3" t="s">
        <v>20</v>
      </c>
      <c r="F46" s="3" t="s">
        <v>89</v>
      </c>
      <c r="G46" s="9" t="n">
        <v>3.1</v>
      </c>
      <c r="H46" s="9" t="n">
        <v>2.86</v>
      </c>
      <c r="I46" s="9" t="n">
        <v>9.42</v>
      </c>
      <c r="J46" s="9" t="n">
        <v>0.67</v>
      </c>
      <c r="K46" s="9" t="n">
        <v>3.1</v>
      </c>
      <c r="L46" s="9" t="n">
        <v>4.75</v>
      </c>
      <c r="M46" s="9" t="n">
        <v>12.28</v>
      </c>
      <c r="N46" s="9" t="n">
        <v>4.55</v>
      </c>
      <c r="O46" s="9" t="n">
        <v>6.16</v>
      </c>
      <c r="P46" s="9" t="n">
        <v>2.26</v>
      </c>
      <c r="Q46" s="10" t="n">
        <f aca="false">AVERAGE(G46:P46)</f>
        <v>4.915</v>
      </c>
      <c r="R46" s="10" t="n">
        <f aca="false">STDEV(G46:P46)</f>
        <v>3.52970332401401</v>
      </c>
      <c r="S46" s="11" t="n">
        <f aca="false">IF(Q46=0,"",R46/Q46)</f>
        <v>0.718149201223603</v>
      </c>
      <c r="T46" s="10" t="n">
        <f aca="false">TINV(0.05,COUNT(G46:P46)-1)*R46/SQRT(COUNT(G46:P46))</f>
        <v>2.52499764886103</v>
      </c>
    </row>
    <row r="47" customFormat="false" ht="15" hidden="false" customHeight="false" outlineLevel="0" collapsed="false">
      <c r="A47" s="3" t="s">
        <v>87</v>
      </c>
      <c r="B47" s="3" t="s">
        <v>22</v>
      </c>
      <c r="C47" s="3" t="s">
        <v>27</v>
      </c>
      <c r="D47" s="3" t="s">
        <v>90</v>
      </c>
      <c r="E47" s="3" t="s">
        <v>20</v>
      </c>
      <c r="F47" s="3" t="s">
        <v>89</v>
      </c>
      <c r="G47" s="9" t="n">
        <v>2.79</v>
      </c>
      <c r="H47" s="9" t="n">
        <v>1.51</v>
      </c>
      <c r="I47" s="9" t="n">
        <v>83.78</v>
      </c>
      <c r="J47" s="9" t="n">
        <v>3.5</v>
      </c>
      <c r="K47" s="9" t="n">
        <v>3.79</v>
      </c>
      <c r="L47" s="9" t="n">
        <v>1.19</v>
      </c>
      <c r="M47" s="9" t="n">
        <v>28.54</v>
      </c>
      <c r="N47" s="9" t="n">
        <v>2.38</v>
      </c>
      <c r="O47" s="9" t="n">
        <v>4.93</v>
      </c>
      <c r="P47" s="9" t="n">
        <v>4.26</v>
      </c>
      <c r="Q47" s="10" t="n">
        <f aca="false">AVERAGE(G47:P47)</f>
        <v>13.667</v>
      </c>
      <c r="R47" s="10" t="n">
        <f aca="false">STDEV(G47:P47)</f>
        <v>25.93145325233</v>
      </c>
      <c r="S47" s="11" t="n">
        <f aca="false">IF(Q47=0,"",R47/Q47)</f>
        <v>1.89737713121607</v>
      </c>
      <c r="T47" s="10" t="n">
        <f aca="false">TINV(0.05,COUNT(G47:P47)-1)*R47/SQRT(COUNT(G47:P47))</f>
        <v>18.5502441659097</v>
      </c>
    </row>
    <row r="48" customFormat="false" ht="15" hidden="false" customHeight="false" outlineLevel="0" collapsed="false">
      <c r="A48" s="3" t="s">
        <v>84</v>
      </c>
      <c r="B48" s="3" t="s">
        <v>22</v>
      </c>
      <c r="C48" s="3" t="s">
        <v>27</v>
      </c>
      <c r="D48" s="3" t="s">
        <v>24</v>
      </c>
      <c r="E48" s="3" t="s">
        <v>25</v>
      </c>
      <c r="F48" s="3" t="s">
        <v>85</v>
      </c>
      <c r="G48" s="9" t="n">
        <v>24147.94</v>
      </c>
      <c r="H48" s="9" t="n">
        <v>22599.08</v>
      </c>
      <c r="I48" s="9" t="n">
        <v>22091.31</v>
      </c>
      <c r="J48" s="9" t="n">
        <v>22994.24</v>
      </c>
      <c r="K48" s="9" t="n">
        <v>22532.57</v>
      </c>
      <c r="L48" s="9" t="n">
        <v>21696.34</v>
      </c>
      <c r="M48" s="9" t="n">
        <v>19719.87</v>
      </c>
      <c r="N48" s="9" t="n">
        <v>23057.98</v>
      </c>
      <c r="O48" s="9" t="n">
        <v>23252.81</v>
      </c>
      <c r="P48" s="9" t="n">
        <v>22899.4</v>
      </c>
      <c r="Q48" s="10" t="n">
        <f aca="false">AVERAGE(G48:P48)</f>
        <v>22499.154</v>
      </c>
      <c r="R48" s="10" t="n">
        <f aca="false">STDEV(G48:P48)</f>
        <v>1180.88735846491</v>
      </c>
      <c r="S48" s="11" t="n">
        <f aca="false">IF(Q48=0,"",R48/Q48)</f>
        <v>0.0524858560666284</v>
      </c>
      <c r="T48" s="10" t="n">
        <f aca="false">TINV(0.05,COUNT(G48:P48)-1)*R48/SQRT(COUNT(G48:P48))</f>
        <v>844.755927051326</v>
      </c>
    </row>
    <row r="49" customFormat="false" ht="15" hidden="false" customHeight="false" outlineLevel="0" collapsed="false">
      <c r="A49" s="3" t="s">
        <v>87</v>
      </c>
      <c r="B49" s="3" t="s">
        <v>22</v>
      </c>
      <c r="C49" s="3" t="s">
        <v>27</v>
      </c>
      <c r="D49" s="3" t="s">
        <v>24</v>
      </c>
      <c r="E49" s="3" t="s">
        <v>25</v>
      </c>
      <c r="F49" s="3" t="s">
        <v>85</v>
      </c>
      <c r="G49" s="9" t="n">
        <v>25346.32</v>
      </c>
      <c r="H49" s="9" t="n">
        <v>23750.9</v>
      </c>
      <c r="I49" s="9" t="n">
        <v>17702.67</v>
      </c>
      <c r="J49" s="9" t="n">
        <v>17335.59</v>
      </c>
      <c r="K49" s="9" t="n">
        <v>20583.21</v>
      </c>
      <c r="L49" s="9" t="n">
        <v>23613.43</v>
      </c>
      <c r="M49" s="9" t="n">
        <v>21919.64</v>
      </c>
      <c r="N49" s="9" t="n">
        <v>22981.23</v>
      </c>
      <c r="O49" s="9" t="n">
        <v>25243.13</v>
      </c>
      <c r="P49" s="9" t="n">
        <v>23462.45</v>
      </c>
      <c r="Q49" s="10" t="n">
        <f aca="false">AVERAGE(G49:P49)</f>
        <v>22193.857</v>
      </c>
      <c r="R49" s="10" t="n">
        <f aca="false">STDEV(G49:P49)</f>
        <v>2835.2511406656</v>
      </c>
      <c r="S49" s="11" t="n">
        <f aca="false">IF(Q49=0,"",R49/Q49)</f>
        <v>0.127749365090781</v>
      </c>
      <c r="T49" s="10" t="n">
        <f aca="false">TINV(0.05,COUNT(G49:P49)-1)*R49/SQRT(COUNT(G49:P49))</f>
        <v>2028.21648363634</v>
      </c>
    </row>
    <row r="50" customFormat="false" ht="15" hidden="false" customHeight="false" outlineLevel="0" collapsed="false">
      <c r="A50" s="3" t="s">
        <v>84</v>
      </c>
      <c r="B50" s="3" t="s">
        <v>22</v>
      </c>
      <c r="C50" s="3" t="s">
        <v>27</v>
      </c>
      <c r="D50" s="3" t="s">
        <v>91</v>
      </c>
      <c r="E50" s="3" t="s">
        <v>92</v>
      </c>
      <c r="F50" s="3" t="s">
        <v>85</v>
      </c>
      <c r="G50" s="9" t="n">
        <v>24147.94</v>
      </c>
      <c r="H50" s="9" t="n">
        <v>22599.08</v>
      </c>
      <c r="I50" s="9" t="n">
        <v>22091.31</v>
      </c>
      <c r="J50" s="9" t="n">
        <v>22994.24</v>
      </c>
      <c r="K50" s="9" t="n">
        <v>22532.57</v>
      </c>
      <c r="L50" s="9" t="n">
        <v>21696.34</v>
      </c>
      <c r="M50" s="9" t="n">
        <v>19719.87</v>
      </c>
      <c r="N50" s="9" t="n">
        <v>23057.98</v>
      </c>
      <c r="O50" s="9" t="n">
        <v>23252.81</v>
      </c>
      <c r="P50" s="9" t="n">
        <v>22899.4</v>
      </c>
      <c r="Q50" s="10" t="n">
        <f aca="false">AVERAGE(G50:P50)</f>
        <v>22499.154</v>
      </c>
      <c r="R50" s="10" t="n">
        <f aca="false">STDEV(G50:P50)</f>
        <v>1180.88735846491</v>
      </c>
      <c r="S50" s="11" t="n">
        <f aca="false">IF(Q50=0,"",R50/Q50)</f>
        <v>0.0524858560666284</v>
      </c>
      <c r="T50" s="10" t="n">
        <f aca="false">TINV(0.05,COUNT(G50:P50)-1)*R50/SQRT(COUNT(G50:P50))</f>
        <v>844.755927051326</v>
      </c>
    </row>
    <row r="51" customFormat="false" ht="15" hidden="false" customHeight="false" outlineLevel="0" collapsed="false">
      <c r="A51" s="3" t="s">
        <v>87</v>
      </c>
      <c r="B51" s="3" t="s">
        <v>22</v>
      </c>
      <c r="C51" s="3" t="s">
        <v>27</v>
      </c>
      <c r="D51" s="3" t="s">
        <v>91</v>
      </c>
      <c r="E51" s="3" t="s">
        <v>92</v>
      </c>
      <c r="F51" s="3" t="s">
        <v>85</v>
      </c>
      <c r="G51" s="9" t="n">
        <v>25346.32</v>
      </c>
      <c r="H51" s="9" t="n">
        <v>23750.9</v>
      </c>
      <c r="I51" s="9" t="n">
        <v>17702.67</v>
      </c>
      <c r="J51" s="9" t="n">
        <v>17335.59</v>
      </c>
      <c r="K51" s="9" t="n">
        <v>20583.21</v>
      </c>
      <c r="L51" s="9" t="n">
        <v>23613.43</v>
      </c>
      <c r="M51" s="9" t="n">
        <v>21919.64</v>
      </c>
      <c r="N51" s="9" t="n">
        <v>22981.23</v>
      </c>
      <c r="O51" s="9" t="n">
        <v>25243.13</v>
      </c>
      <c r="P51" s="9" t="n">
        <v>23462.45</v>
      </c>
      <c r="Q51" s="10" t="n">
        <f aca="false">AVERAGE(G51:P51)</f>
        <v>22193.857</v>
      </c>
      <c r="R51" s="10" t="n">
        <f aca="false">STDEV(G51:P51)</f>
        <v>2835.2511406656</v>
      </c>
      <c r="S51" s="11" t="n">
        <f aca="false">IF(Q51=0,"",R51/Q51)</f>
        <v>0.127749365090781</v>
      </c>
      <c r="T51" s="10" t="n">
        <f aca="false">TINV(0.05,COUNT(G51:P51)-1)*R51/SQRT(COUNT(G51:P51))</f>
        <v>2028.21648363634</v>
      </c>
    </row>
    <row r="52" customFormat="false" ht="15" hidden="false" customHeight="false" outlineLevel="0" collapsed="false">
      <c r="A52" s="3" t="s">
        <v>84</v>
      </c>
      <c r="B52" s="3" t="s">
        <v>22</v>
      </c>
      <c r="C52" s="3" t="s">
        <v>28</v>
      </c>
      <c r="D52" s="3" t="s">
        <v>88</v>
      </c>
      <c r="E52" s="3" t="s">
        <v>20</v>
      </c>
      <c r="F52" s="3" t="s">
        <v>89</v>
      </c>
      <c r="G52" s="9" t="n">
        <v>826.76</v>
      </c>
      <c r="H52" s="9" t="n">
        <v>839.09</v>
      </c>
      <c r="I52" s="9" t="n">
        <v>818.33</v>
      </c>
      <c r="J52" s="9" t="n">
        <v>809.75</v>
      </c>
      <c r="K52" s="9" t="n">
        <v>799.5</v>
      </c>
      <c r="L52" s="9" t="n">
        <v>800.93</v>
      </c>
      <c r="M52" s="9" t="n">
        <v>959.15</v>
      </c>
      <c r="N52" s="9" t="n">
        <v>809.33</v>
      </c>
      <c r="O52" s="9" t="n">
        <v>864.16</v>
      </c>
      <c r="P52" s="9" t="n">
        <v>871.75</v>
      </c>
      <c r="Q52" s="10" t="n">
        <f aca="false">AVERAGE(G52:P52)</f>
        <v>839.875</v>
      </c>
      <c r="R52" s="10" t="n">
        <f aca="false">STDEV(G52:P52)</f>
        <v>48.8267632098991</v>
      </c>
      <c r="S52" s="11" t="n">
        <f aca="false">IF(Q52=0,"",R52/Q52)</f>
        <v>0.0581357502127091</v>
      </c>
      <c r="T52" s="10" t="n">
        <f aca="false">TINV(0.05,COUNT(G52:P52)-1)*R52/SQRT(COUNT(G52:P52))</f>
        <v>34.9285622583957</v>
      </c>
    </row>
    <row r="53" customFormat="false" ht="15" hidden="false" customHeight="false" outlineLevel="0" collapsed="false">
      <c r="A53" s="3" t="s">
        <v>87</v>
      </c>
      <c r="B53" s="3" t="s">
        <v>22</v>
      </c>
      <c r="C53" s="3" t="s">
        <v>28</v>
      </c>
      <c r="D53" s="3" t="s">
        <v>88</v>
      </c>
      <c r="E53" s="3" t="s">
        <v>20</v>
      </c>
      <c r="F53" s="3" t="s">
        <v>89</v>
      </c>
      <c r="G53" s="9" t="n">
        <v>1056.54</v>
      </c>
      <c r="H53" s="9" t="n">
        <v>1151.56</v>
      </c>
      <c r="I53" s="9" t="n">
        <v>1325.89</v>
      </c>
      <c r="J53" s="9" t="n">
        <v>1327.8</v>
      </c>
      <c r="K53" s="9" t="n">
        <v>1132.62</v>
      </c>
      <c r="L53" s="9" t="n">
        <v>1043.87</v>
      </c>
      <c r="M53" s="9" t="n">
        <v>1149.81</v>
      </c>
      <c r="N53" s="9" t="n">
        <v>1163.2</v>
      </c>
      <c r="O53" s="9" t="n">
        <v>1073.96</v>
      </c>
      <c r="P53" s="9" t="n">
        <v>1222.08</v>
      </c>
      <c r="Q53" s="10" t="n">
        <f aca="false">AVERAGE(G53:P53)</f>
        <v>1164.733</v>
      </c>
      <c r="R53" s="10" t="n">
        <f aca="false">STDEV(G53:P53)</f>
        <v>101.013887829568</v>
      </c>
      <c r="S53" s="11" t="n">
        <f aca="false">IF(Q53=0,"",R53/Q53)</f>
        <v>0.0867270763596185</v>
      </c>
      <c r="T53" s="10" t="n">
        <f aca="false">TINV(0.05,COUNT(G53:P53)-1)*R53/SQRT(COUNT(G53:P53))</f>
        <v>72.2609822578272</v>
      </c>
    </row>
    <row r="54" customFormat="false" ht="15" hidden="false" customHeight="false" outlineLevel="0" collapsed="false">
      <c r="A54" s="3" t="s">
        <v>84</v>
      </c>
      <c r="B54" s="3" t="s">
        <v>22</v>
      </c>
      <c r="C54" s="3" t="s">
        <v>28</v>
      </c>
      <c r="D54" s="3" t="s">
        <v>19</v>
      </c>
      <c r="E54" s="3" t="s">
        <v>20</v>
      </c>
      <c r="F54" s="3" t="s">
        <v>89</v>
      </c>
      <c r="G54" s="9" t="n">
        <v>943.16</v>
      </c>
      <c r="H54" s="9" t="n">
        <v>943.16</v>
      </c>
      <c r="I54" s="9" t="n">
        <v>909.8</v>
      </c>
      <c r="J54" s="9" t="n">
        <v>861.95</v>
      </c>
      <c r="K54" s="9" t="n">
        <v>861.95</v>
      </c>
      <c r="L54" s="9" t="n">
        <v>846.57</v>
      </c>
      <c r="M54" s="9" t="n">
        <v>1453.01</v>
      </c>
      <c r="N54" s="9" t="n">
        <v>846.57</v>
      </c>
      <c r="O54" s="9" t="n">
        <v>995.51</v>
      </c>
      <c r="P54" s="9" t="n">
        <v>960.3</v>
      </c>
      <c r="Q54" s="10" t="n">
        <f aca="false">AVERAGE(G54:P54)</f>
        <v>962.198</v>
      </c>
      <c r="R54" s="10" t="n">
        <f aca="false">STDEV(G54:P54)</f>
        <v>180.221821394266</v>
      </c>
      <c r="S54" s="11" t="n">
        <f aca="false">IF(Q54=0,"",R54/Q54)</f>
        <v>0.187302219911355</v>
      </c>
      <c r="T54" s="10" t="n">
        <f aca="false">TINV(0.05,COUNT(G54:P54)-1)*R54/SQRT(COUNT(G54:P54))</f>
        <v>128.922924541</v>
      </c>
    </row>
    <row r="55" customFormat="false" ht="15" hidden="false" customHeight="false" outlineLevel="0" collapsed="false">
      <c r="A55" s="3" t="s">
        <v>87</v>
      </c>
      <c r="B55" s="3" t="s">
        <v>22</v>
      </c>
      <c r="C55" s="3" t="s">
        <v>28</v>
      </c>
      <c r="D55" s="3" t="s">
        <v>19</v>
      </c>
      <c r="E55" s="3" t="s">
        <v>20</v>
      </c>
      <c r="F55" s="3" t="s">
        <v>89</v>
      </c>
      <c r="G55" s="9" t="n">
        <v>1109.09</v>
      </c>
      <c r="H55" s="9" t="n">
        <v>1327.91</v>
      </c>
      <c r="I55" s="9" t="n">
        <v>1506.29</v>
      </c>
      <c r="J55" s="9" t="n">
        <v>1401.61</v>
      </c>
      <c r="K55" s="9" t="n">
        <v>1280.93</v>
      </c>
      <c r="L55" s="9" t="n">
        <v>1089.3</v>
      </c>
      <c r="M55" s="9" t="n">
        <v>1771.29</v>
      </c>
      <c r="N55" s="9" t="n">
        <v>1191.92</v>
      </c>
      <c r="O55" s="9" t="n">
        <v>1109.09</v>
      </c>
      <c r="P55" s="9" t="n">
        <v>1327.91</v>
      </c>
      <c r="Q55" s="10" t="n">
        <f aca="false">AVERAGE(G55:P55)</f>
        <v>1311.534</v>
      </c>
      <c r="R55" s="10" t="n">
        <f aca="false">STDEV(G55:P55)</f>
        <v>212.015387921621</v>
      </c>
      <c r="S55" s="11" t="n">
        <f aca="false">IF(Q55=0,"",R55/Q55)</f>
        <v>0.161654511374941</v>
      </c>
      <c r="T55" s="10" t="n">
        <f aca="false">TINV(0.05,COUNT(G55:P55)-1)*R55/SQRT(COUNT(G55:P55))</f>
        <v>151.666671921781</v>
      </c>
    </row>
    <row r="56" customFormat="false" ht="15" hidden="false" customHeight="false" outlineLevel="0" collapsed="false">
      <c r="A56" s="3" t="s">
        <v>84</v>
      </c>
      <c r="B56" s="3" t="s">
        <v>22</v>
      </c>
      <c r="C56" s="3" t="s">
        <v>28</v>
      </c>
      <c r="D56" s="3" t="s">
        <v>90</v>
      </c>
      <c r="E56" s="3" t="s">
        <v>20</v>
      </c>
      <c r="F56" s="3" t="s">
        <v>89</v>
      </c>
      <c r="G56" s="9" t="n">
        <v>950.15</v>
      </c>
      <c r="H56" s="9" t="n">
        <v>954.48</v>
      </c>
      <c r="I56" s="9" t="n">
        <v>909.03</v>
      </c>
      <c r="J56" s="9" t="n">
        <v>868.54</v>
      </c>
      <c r="K56" s="9" t="n">
        <v>882.22</v>
      </c>
      <c r="L56" s="9" t="n">
        <v>853.89</v>
      </c>
      <c r="M56" s="9" t="n">
        <v>1732.12</v>
      </c>
      <c r="N56" s="9" t="n">
        <v>849.14</v>
      </c>
      <c r="O56" s="9" t="n">
        <v>999.92</v>
      </c>
      <c r="P56" s="9" t="n">
        <v>975.27</v>
      </c>
      <c r="Q56" s="10" t="n">
        <f aca="false">AVERAGE(G56:P56)</f>
        <v>997.476</v>
      </c>
      <c r="R56" s="10" t="n">
        <f aca="false">STDEV(G56:P56)</f>
        <v>263.447429594597</v>
      </c>
      <c r="S56" s="11" t="n">
        <f aca="false">IF(Q56=0,"",R56/Q56)</f>
        <v>0.264114053465544</v>
      </c>
      <c r="T56" s="10" t="n">
        <f aca="false">TINV(0.05,COUNT(G56:P56)-1)*R56/SQRT(COUNT(G56:P56))</f>
        <v>188.458938120715</v>
      </c>
    </row>
    <row r="57" customFormat="false" ht="15" hidden="false" customHeight="false" outlineLevel="0" collapsed="false">
      <c r="A57" s="3" t="s">
        <v>87</v>
      </c>
      <c r="B57" s="3" t="s">
        <v>22</v>
      </c>
      <c r="C57" s="3" t="s">
        <v>28</v>
      </c>
      <c r="D57" s="3" t="s">
        <v>90</v>
      </c>
      <c r="E57" s="3" t="s">
        <v>20</v>
      </c>
      <c r="F57" s="3" t="s">
        <v>89</v>
      </c>
      <c r="G57" s="9" t="n">
        <v>1111.54</v>
      </c>
      <c r="H57" s="9" t="n">
        <v>1364.49</v>
      </c>
      <c r="I57" s="9" t="n">
        <v>1525.87</v>
      </c>
      <c r="J57" s="9" t="n">
        <v>1447.39</v>
      </c>
      <c r="K57" s="9" t="n">
        <v>1294.23</v>
      </c>
      <c r="L57" s="9" t="n">
        <v>1096.48</v>
      </c>
      <c r="M57" s="9" t="n">
        <v>1814.9</v>
      </c>
      <c r="N57" s="9" t="n">
        <v>1208.14</v>
      </c>
      <c r="O57" s="9" t="n">
        <v>1103.21</v>
      </c>
      <c r="P57" s="9" t="n">
        <v>1344.97</v>
      </c>
      <c r="Q57" s="10" t="n">
        <f aca="false">AVERAGE(G57:P57)</f>
        <v>1331.122</v>
      </c>
      <c r="R57" s="10" t="n">
        <f aca="false">STDEV(G57:P57)</f>
        <v>225.707275952234</v>
      </c>
      <c r="S57" s="11" t="n">
        <f aca="false">IF(Q57=0,"",R57/Q57)</f>
        <v>0.169561675002166</v>
      </c>
      <c r="T57" s="10" t="n">
        <f aca="false">TINV(0.05,COUNT(G57:P57)-1)*R57/SQRT(COUNT(G57:P57))</f>
        <v>161.461258580257</v>
      </c>
    </row>
    <row r="58" customFormat="false" ht="15" hidden="false" customHeight="false" outlineLevel="0" collapsed="false">
      <c r="A58" s="3" t="s">
        <v>84</v>
      </c>
      <c r="B58" s="3" t="s">
        <v>22</v>
      </c>
      <c r="C58" s="3" t="s">
        <v>28</v>
      </c>
      <c r="D58" s="3" t="s">
        <v>24</v>
      </c>
      <c r="E58" s="3" t="s">
        <v>25</v>
      </c>
      <c r="F58" s="3" t="s">
        <v>85</v>
      </c>
      <c r="G58" s="9" t="n">
        <v>599.93</v>
      </c>
      <c r="H58" s="9" t="n">
        <v>608.92</v>
      </c>
      <c r="I58" s="9" t="n">
        <v>624.6</v>
      </c>
      <c r="J58" s="9" t="n">
        <v>632.07</v>
      </c>
      <c r="K58" s="9" t="n">
        <v>639.05</v>
      </c>
      <c r="L58" s="9" t="n">
        <v>636.27</v>
      </c>
      <c r="M58" s="9" t="n">
        <v>531.22</v>
      </c>
      <c r="N58" s="9" t="n">
        <v>631.59</v>
      </c>
      <c r="O58" s="9" t="n">
        <v>590.02</v>
      </c>
      <c r="P58" s="9" t="n">
        <v>585.1</v>
      </c>
      <c r="Q58" s="10" t="n">
        <f aca="false">AVERAGE(G58:P58)</f>
        <v>607.877</v>
      </c>
      <c r="R58" s="10" t="n">
        <f aca="false">STDEV(G58:P58)</f>
        <v>33.3056338410719</v>
      </c>
      <c r="S58" s="11" t="n">
        <f aca="false">IF(Q58=0,"",R58/Q58)</f>
        <v>0.0547900872069052</v>
      </c>
      <c r="T58" s="10" t="n">
        <f aca="false">TINV(0.05,COUNT(G58:P58)-1)*R58/SQRT(COUNT(G58:P58))</f>
        <v>23.8254151759411</v>
      </c>
    </row>
    <row r="59" customFormat="false" ht="15" hidden="false" customHeight="false" outlineLevel="0" collapsed="false">
      <c r="A59" s="3" t="s">
        <v>87</v>
      </c>
      <c r="B59" s="3" t="s">
        <v>22</v>
      </c>
      <c r="C59" s="3" t="s">
        <v>28</v>
      </c>
      <c r="D59" s="3" t="s">
        <v>24</v>
      </c>
      <c r="E59" s="3" t="s">
        <v>25</v>
      </c>
      <c r="F59" s="3" t="s">
        <v>85</v>
      </c>
      <c r="G59" s="9" t="n">
        <v>483.91</v>
      </c>
      <c r="H59" s="9" t="n">
        <v>444.36</v>
      </c>
      <c r="I59" s="9" t="n">
        <v>385.29</v>
      </c>
      <c r="J59" s="9" t="n">
        <v>384.33</v>
      </c>
      <c r="K59" s="9" t="n">
        <v>450.15</v>
      </c>
      <c r="L59" s="9" t="n">
        <v>489.42</v>
      </c>
      <c r="M59" s="9" t="n">
        <v>444.85</v>
      </c>
      <c r="N59" s="9" t="n">
        <v>437.83</v>
      </c>
      <c r="O59" s="9" t="n">
        <v>476.17</v>
      </c>
      <c r="P59" s="9" t="n">
        <v>416.36</v>
      </c>
      <c r="Q59" s="10" t="n">
        <f aca="false">AVERAGE(G59:P59)</f>
        <v>441.267</v>
      </c>
      <c r="R59" s="10" t="n">
        <f aca="false">STDEV(G59:P59)</f>
        <v>37.2142245952032</v>
      </c>
      <c r="S59" s="11" t="n">
        <f aca="false">IF(Q59=0,"",R59/Q59)</f>
        <v>0.0843349368867447</v>
      </c>
      <c r="T59" s="10" t="n">
        <f aca="false">TINV(0.05,COUNT(G59:P59)-1)*R59/SQRT(COUNT(G59:P59))</f>
        <v>26.6214525645219</v>
      </c>
    </row>
    <row r="60" customFormat="false" ht="15" hidden="false" customHeight="false" outlineLevel="0" collapsed="false">
      <c r="A60" s="3" t="s">
        <v>84</v>
      </c>
      <c r="B60" s="3" t="s">
        <v>29</v>
      </c>
      <c r="C60" s="3" t="s">
        <v>30</v>
      </c>
      <c r="D60" s="3" t="s">
        <v>31</v>
      </c>
      <c r="E60" s="3" t="s">
        <v>32</v>
      </c>
      <c r="F60" s="3" t="s">
        <v>85</v>
      </c>
      <c r="G60" s="9" t="n">
        <v>4168.055463</v>
      </c>
      <c r="H60" s="9" t="n">
        <v>4082.861143</v>
      </c>
      <c r="I60" s="9" t="n">
        <v>3961.60256</v>
      </c>
      <c r="J60" s="9" t="n">
        <v>4152.989801</v>
      </c>
      <c r="K60" s="9" t="n">
        <v>4073.128458</v>
      </c>
      <c r="L60" s="9" t="n">
        <v>3951.469902</v>
      </c>
      <c r="M60" s="9" t="n">
        <v>4049.130058</v>
      </c>
      <c r="N60" s="9" t="n">
        <v>4068.528765</v>
      </c>
      <c r="O60" s="9" t="n">
        <v>3771.348577</v>
      </c>
      <c r="P60" s="9" t="n">
        <v>3581.027931</v>
      </c>
      <c r="Q60" s="10" t="n">
        <f aca="false">AVERAGE(G60:P60)</f>
        <v>3986.0142658</v>
      </c>
      <c r="R60" s="10" t="n">
        <f aca="false">STDEV(G60:P60)</f>
        <v>182.776368067579</v>
      </c>
      <c r="S60" s="11" t="n">
        <f aca="false">IF(Q60=0,"",R60/Q60)</f>
        <v>0.0458544189457122</v>
      </c>
      <c r="T60" s="10" t="n">
        <f aca="false">TINV(0.05,COUNT(G60:P60)-1)*R60/SQRT(COUNT(G60:P60))</f>
        <v>130.750337145379</v>
      </c>
    </row>
    <row r="61" customFormat="false" ht="15" hidden="false" customHeight="false" outlineLevel="0" collapsed="false">
      <c r="A61" s="3" t="s">
        <v>87</v>
      </c>
      <c r="B61" s="3" t="s">
        <v>29</v>
      </c>
      <c r="C61" s="3" t="s">
        <v>30</v>
      </c>
      <c r="D61" s="3" t="s">
        <v>31</v>
      </c>
      <c r="E61" s="3" t="s">
        <v>32</v>
      </c>
      <c r="F61" s="3" t="s">
        <v>85</v>
      </c>
      <c r="G61" s="9" t="n">
        <v>7539.230718</v>
      </c>
      <c r="H61" s="9" t="n">
        <v>8112.659156</v>
      </c>
      <c r="I61" s="9" t="n">
        <v>6041.463902</v>
      </c>
      <c r="J61" s="9" t="n">
        <v>5067.79548</v>
      </c>
      <c r="K61" s="9" t="n">
        <v>6813.612426</v>
      </c>
      <c r="L61" s="9" t="n">
        <v>6572.361843</v>
      </c>
      <c r="M61" s="9" t="n">
        <v>7649.690021</v>
      </c>
      <c r="N61" s="9" t="n">
        <v>5304.579695</v>
      </c>
      <c r="O61" s="9" t="n">
        <v>7253.916406</v>
      </c>
      <c r="P61" s="9" t="n">
        <v>6326.178255</v>
      </c>
      <c r="Q61" s="10" t="n">
        <f aca="false">AVERAGE(G61:P61)</f>
        <v>6668.1487902</v>
      </c>
      <c r="R61" s="10" t="n">
        <f aca="false">STDEV(G61:P61)</f>
        <v>1006.22533420776</v>
      </c>
      <c r="S61" s="11" t="n">
        <f aca="false">IF(Q61=0,"",R61/Q61)</f>
        <v>0.150900252208917</v>
      </c>
      <c r="T61" s="10" t="n">
        <f aca="false">TINV(0.05,COUNT(G61:P61)-1)*R61/SQRT(COUNT(G61:P61))</f>
        <v>719.810241788164</v>
      </c>
    </row>
    <row r="62" customFormat="false" ht="15" hidden="false" customHeight="false" outlineLevel="0" collapsed="false">
      <c r="A62" s="3" t="s">
        <v>84</v>
      </c>
      <c r="B62" s="3" t="s">
        <v>29</v>
      </c>
      <c r="C62" s="3" t="s">
        <v>30</v>
      </c>
      <c r="D62" s="3" t="s">
        <v>43</v>
      </c>
      <c r="E62" s="3" t="s">
        <v>25</v>
      </c>
      <c r="F62" s="3" t="s">
        <v>85</v>
      </c>
      <c r="G62" s="9" t="n">
        <v>16.28125</v>
      </c>
      <c r="H62" s="9" t="n">
        <v>15.9482421875</v>
      </c>
      <c r="I62" s="9" t="n">
        <v>15.474609375</v>
      </c>
      <c r="J62" s="9" t="n">
        <v>16.2216796875</v>
      </c>
      <c r="K62" s="9" t="n">
        <v>15.91015625</v>
      </c>
      <c r="L62" s="9" t="n">
        <v>15.4345703125</v>
      </c>
      <c r="M62" s="9" t="n">
        <v>15.81640625</v>
      </c>
      <c r="N62" s="9" t="n">
        <v>15.892578125</v>
      </c>
      <c r="O62" s="9" t="n">
        <v>14.7314453125</v>
      </c>
      <c r="P62" s="9" t="n">
        <v>13.98828125</v>
      </c>
      <c r="Q62" s="10" t="n">
        <f aca="false">AVERAGE(G62:P62)</f>
        <v>15.569921875</v>
      </c>
      <c r="R62" s="10" t="n">
        <f aca="false">STDEV(G62:P62)</f>
        <v>0.71387501005081</v>
      </c>
      <c r="S62" s="11" t="n">
        <f aca="false">IF(Q62=0,"",R62/Q62)</f>
        <v>0.0458496205557107</v>
      </c>
      <c r="T62" s="10" t="n">
        <f aca="false">TINV(0.05,COUNT(G62:P62)-1)*R62/SQRT(COUNT(G62:P62))</f>
        <v>0.510675418439724</v>
      </c>
    </row>
    <row r="63" customFormat="false" ht="15" hidden="false" customHeight="false" outlineLevel="0" collapsed="false">
      <c r="A63" s="3" t="s">
        <v>87</v>
      </c>
      <c r="B63" s="3" t="s">
        <v>29</v>
      </c>
      <c r="C63" s="3" t="s">
        <v>30</v>
      </c>
      <c r="D63" s="3" t="s">
        <v>43</v>
      </c>
      <c r="E63" s="3" t="s">
        <v>25</v>
      </c>
      <c r="F63" s="3" t="s">
        <v>85</v>
      </c>
      <c r="G63" s="9" t="n">
        <v>29.44921875</v>
      </c>
      <c r="H63" s="9" t="n">
        <v>31.689453125</v>
      </c>
      <c r="I63" s="9" t="n">
        <v>23.5986328125</v>
      </c>
      <c r="J63" s="9" t="n">
        <v>19.7958984375</v>
      </c>
      <c r="K63" s="9" t="n">
        <v>26.615234375</v>
      </c>
      <c r="L63" s="9" t="n">
        <v>25.6728515625</v>
      </c>
      <c r="M63" s="9" t="n">
        <v>29.880859375</v>
      </c>
      <c r="N63" s="9" t="n">
        <v>20.720703125</v>
      </c>
      <c r="O63" s="9" t="n">
        <v>28.3349609375</v>
      </c>
      <c r="P63" s="9" t="n">
        <v>24.7109375</v>
      </c>
      <c r="Q63" s="10" t="n">
        <f aca="false">AVERAGE(G63:P63)</f>
        <v>26.046875</v>
      </c>
      <c r="R63" s="10" t="n">
        <f aca="false">STDEV(G63:P63)</f>
        <v>3.93041931443422</v>
      </c>
      <c r="S63" s="11" t="n">
        <f aca="false">IF(Q63=0,"",R63/Q63)</f>
        <v>0.150897922089856</v>
      </c>
      <c r="T63" s="10" t="n">
        <f aca="false">TINV(0.05,COUNT(G63:P63)-1)*R63/SQRT(COUNT(G63:P63))</f>
        <v>2.811652599941</v>
      </c>
    </row>
    <row r="64" customFormat="false" ht="15" hidden="false" customHeight="false" outlineLevel="0" collapsed="false">
      <c r="A64" s="3" t="s">
        <v>84</v>
      </c>
      <c r="B64" s="3" t="s">
        <v>29</v>
      </c>
      <c r="C64" s="3" t="s">
        <v>30</v>
      </c>
      <c r="D64" s="3" t="s">
        <v>33</v>
      </c>
      <c r="E64" s="3" t="s">
        <v>34</v>
      </c>
      <c r="F64" s="3" t="s">
        <v>89</v>
      </c>
      <c r="G64" s="9" t="n">
        <v>237.458016777</v>
      </c>
      <c r="H64" s="9" t="n">
        <v>242.537414502</v>
      </c>
      <c r="I64" s="9" t="n">
        <v>249.995659184</v>
      </c>
      <c r="J64" s="9" t="n">
        <v>238.388106246</v>
      </c>
      <c r="K64" s="9" t="n">
        <v>243.158265609</v>
      </c>
      <c r="L64" s="9" t="n">
        <v>250.474707639</v>
      </c>
      <c r="M64" s="9" t="n">
        <v>244.610973626</v>
      </c>
      <c r="N64" s="9" t="n">
        <v>243.375409097</v>
      </c>
      <c r="O64" s="9" t="n">
        <v>262.559229452</v>
      </c>
      <c r="P64" s="9" t="n">
        <v>276.661072339</v>
      </c>
      <c r="Q64" s="10" t="n">
        <f aca="false">AVERAGE(G64:P64)</f>
        <v>248.9218854471</v>
      </c>
      <c r="R64" s="10" t="n">
        <f aca="false">STDEV(G64:P64)</f>
        <v>12.1322015057759</v>
      </c>
      <c r="S64" s="11" t="n">
        <f aca="false">IF(Q64=0,"",R64/Q64)</f>
        <v>0.0487389908845689</v>
      </c>
      <c r="T64" s="10" t="n">
        <f aca="false">TINV(0.05,COUNT(G64:P64)-1)*R64/SQRT(COUNT(G64:P64))</f>
        <v>8.6788541317845</v>
      </c>
    </row>
    <row r="65" customFormat="false" ht="15" hidden="false" customHeight="false" outlineLevel="0" collapsed="false">
      <c r="A65" s="3" t="s">
        <v>87</v>
      </c>
      <c r="B65" s="3" t="s">
        <v>29</v>
      </c>
      <c r="C65" s="3" t="s">
        <v>30</v>
      </c>
      <c r="D65" s="3" t="s">
        <v>33</v>
      </c>
      <c r="E65" s="3" t="s">
        <v>34</v>
      </c>
      <c r="F65" s="3" t="s">
        <v>89</v>
      </c>
      <c r="G65" s="9" t="n">
        <v>129.984823725</v>
      </c>
      <c r="H65" s="9" t="n">
        <v>120.931721746</v>
      </c>
      <c r="I65" s="9" t="n">
        <v>162.579773547</v>
      </c>
      <c r="J65" s="9" t="n">
        <v>194.319721107</v>
      </c>
      <c r="K65" s="9" t="n">
        <v>144.122129331</v>
      </c>
      <c r="L65" s="9" t="n">
        <v>149.914926049</v>
      </c>
      <c r="M65" s="9" t="n">
        <v>128.074544003</v>
      </c>
      <c r="N65" s="9" t="n">
        <v>185.443511423</v>
      </c>
      <c r="O65" s="9" t="n">
        <v>135.208771063</v>
      </c>
      <c r="P65" s="9" t="n">
        <v>155.327665687</v>
      </c>
      <c r="Q65" s="10" t="n">
        <f aca="false">AVERAGE(G65:P65)</f>
        <v>150.5907587681</v>
      </c>
      <c r="R65" s="10" t="n">
        <f aca="false">STDEV(G65:P65)</f>
        <v>24.4569001924997</v>
      </c>
      <c r="S65" s="11" t="n">
        <f aca="false">IF(Q65=0,"",R65/Q65)</f>
        <v>0.162406381324911</v>
      </c>
      <c r="T65" s="10" t="n">
        <f aca="false">TINV(0.05,COUNT(G65:P65)-1)*R65/SQRT(COUNT(G65:P65))</f>
        <v>17.4954124513399</v>
      </c>
    </row>
    <row r="66" customFormat="false" ht="15" hidden="false" customHeight="false" outlineLevel="0" collapsed="false">
      <c r="A66" s="3" t="s">
        <v>84</v>
      </c>
      <c r="B66" s="3" t="s">
        <v>29</v>
      </c>
      <c r="C66" s="3" t="s">
        <v>30</v>
      </c>
      <c r="D66" s="3" t="s">
        <v>35</v>
      </c>
      <c r="E66" s="3" t="s">
        <v>34</v>
      </c>
      <c r="F66" s="3" t="s">
        <v>89</v>
      </c>
      <c r="G66" s="9" t="n">
        <v>325.632</v>
      </c>
      <c r="H66" s="9" t="n">
        <v>333.824</v>
      </c>
      <c r="I66" s="9" t="n">
        <v>337.92</v>
      </c>
      <c r="J66" s="9" t="n">
        <v>333.824</v>
      </c>
      <c r="K66" s="9" t="n">
        <v>333.824</v>
      </c>
      <c r="L66" s="9" t="n">
        <v>346.112</v>
      </c>
      <c r="M66" s="9" t="n">
        <v>337.92</v>
      </c>
      <c r="N66" s="9" t="n">
        <v>342.016</v>
      </c>
      <c r="O66" s="9" t="n">
        <v>382.976</v>
      </c>
      <c r="P66" s="9" t="n">
        <v>489.472</v>
      </c>
      <c r="Q66" s="10" t="n">
        <f aca="false">AVERAGE(G66:P66)</f>
        <v>356.352</v>
      </c>
      <c r="R66" s="10" t="n">
        <f aca="false">STDEV(G66:P66)</f>
        <v>49.3129217593568</v>
      </c>
      <c r="S66" s="11" t="n">
        <f aca="false">IF(Q66=0,"",R66/Q66)</f>
        <v>0.138382615389718</v>
      </c>
      <c r="T66" s="10" t="n">
        <f aca="false">TINV(0.05,COUNT(G66:P66)-1)*R66/SQRT(COUNT(G66:P66))</f>
        <v>35.2763391341469</v>
      </c>
    </row>
    <row r="67" customFormat="false" ht="15" hidden="false" customHeight="false" outlineLevel="0" collapsed="false">
      <c r="A67" s="3" t="s">
        <v>87</v>
      </c>
      <c r="B67" s="3" t="s">
        <v>29</v>
      </c>
      <c r="C67" s="3" t="s">
        <v>30</v>
      </c>
      <c r="D67" s="3" t="s">
        <v>35</v>
      </c>
      <c r="E67" s="3" t="s">
        <v>34</v>
      </c>
      <c r="F67" s="3" t="s">
        <v>89</v>
      </c>
      <c r="G67" s="9" t="n">
        <v>148.48</v>
      </c>
      <c r="H67" s="9" t="n">
        <v>111.104</v>
      </c>
      <c r="I67" s="9" t="n">
        <v>199.68</v>
      </c>
      <c r="J67" s="9" t="n">
        <v>224.256</v>
      </c>
      <c r="K67" s="9" t="n">
        <v>144.384</v>
      </c>
      <c r="L67" s="9" t="n">
        <v>173.056</v>
      </c>
      <c r="M67" s="9" t="n">
        <v>136.192</v>
      </c>
      <c r="N67" s="9" t="n">
        <v>358.4</v>
      </c>
      <c r="O67" s="9" t="n">
        <v>148.48</v>
      </c>
      <c r="P67" s="9" t="n">
        <v>175.104</v>
      </c>
      <c r="Q67" s="10" t="n">
        <f aca="false">AVERAGE(G67:P67)</f>
        <v>181.9136</v>
      </c>
      <c r="R67" s="10" t="n">
        <f aca="false">STDEV(G67:P67)</f>
        <v>70.0232875346163</v>
      </c>
      <c r="S67" s="11" t="n">
        <f aca="false">IF(Q67=0,"",R67/Q67)</f>
        <v>0.38492607223768</v>
      </c>
      <c r="T67" s="10" t="n">
        <f aca="false">TINV(0.05,COUNT(G67:P67)-1)*R67/SQRT(COUNT(G67:P67))</f>
        <v>50.0916423166574</v>
      </c>
    </row>
    <row r="68" customFormat="false" ht="15" hidden="false" customHeight="false" outlineLevel="0" collapsed="false">
      <c r="A68" s="3" t="s">
        <v>84</v>
      </c>
      <c r="B68" s="3" t="s">
        <v>29</v>
      </c>
      <c r="C68" s="3" t="s">
        <v>36</v>
      </c>
      <c r="D68" s="3" t="s">
        <v>37</v>
      </c>
      <c r="E68" s="3" t="s">
        <v>32</v>
      </c>
      <c r="F68" s="3" t="s">
        <v>85</v>
      </c>
      <c r="G68" s="9" t="n">
        <v>5647.290181</v>
      </c>
      <c r="H68" s="9" t="n">
        <v>5346.043597</v>
      </c>
      <c r="I68" s="9" t="n">
        <v>5651.689887</v>
      </c>
      <c r="J68" s="9" t="n">
        <v>5481.234584</v>
      </c>
      <c r="K68" s="9" t="n">
        <v>5355.242984</v>
      </c>
      <c r="L68" s="9" t="n">
        <v>5579.028065</v>
      </c>
      <c r="M68" s="9" t="n">
        <v>5595.226985</v>
      </c>
      <c r="N68" s="9" t="n">
        <v>5407.839477</v>
      </c>
      <c r="O68" s="9" t="n">
        <v>5200.386641</v>
      </c>
      <c r="P68" s="9" t="n">
        <v>4667.35551</v>
      </c>
      <c r="Q68" s="10" t="n">
        <f aca="false">AVERAGE(G68:P68)</f>
        <v>5393.1337911</v>
      </c>
      <c r="R68" s="10" t="n">
        <f aca="false">STDEV(G68:P68)</f>
        <v>294.841171759789</v>
      </c>
      <c r="S68" s="11" t="n">
        <f aca="false">IF(Q68=0,"",R68/Q68)</f>
        <v>0.0546697306575909</v>
      </c>
      <c r="T68" s="10" t="n">
        <f aca="false">TINV(0.05,COUNT(G68:P68)-1)*R68/SQRT(COUNT(G68:P68))</f>
        <v>210.916668382848</v>
      </c>
    </row>
    <row r="69" customFormat="false" ht="15" hidden="false" customHeight="false" outlineLevel="0" collapsed="false">
      <c r="A69" s="3" t="s">
        <v>87</v>
      </c>
      <c r="B69" s="3" t="s">
        <v>29</v>
      </c>
      <c r="C69" s="3" t="s">
        <v>36</v>
      </c>
      <c r="D69" s="3" t="s">
        <v>37</v>
      </c>
      <c r="E69" s="3" t="s">
        <v>32</v>
      </c>
      <c r="F69" s="3" t="s">
        <v>85</v>
      </c>
      <c r="G69" s="9" t="n">
        <v>7344.04373</v>
      </c>
      <c r="H69" s="9" t="n">
        <v>5965.402307</v>
      </c>
      <c r="I69" s="9" t="n">
        <v>5682.154523</v>
      </c>
      <c r="J69" s="9" t="n">
        <v>5026.931538</v>
      </c>
      <c r="K69" s="9" t="n">
        <v>6385.974268</v>
      </c>
      <c r="L69" s="9" t="n">
        <v>6827.54483</v>
      </c>
      <c r="M69" s="9" t="n">
        <v>7516.232251</v>
      </c>
      <c r="N69" s="9" t="n">
        <v>6314.512366</v>
      </c>
      <c r="O69" s="9" t="n">
        <v>5791.747217</v>
      </c>
      <c r="P69" s="9" t="n">
        <v>5962.135858</v>
      </c>
      <c r="Q69" s="10" t="n">
        <f aca="false">AVERAGE(G69:P69)</f>
        <v>6281.6678888</v>
      </c>
      <c r="R69" s="10" t="n">
        <f aca="false">STDEV(G69:P69)</f>
        <v>770.184559059645</v>
      </c>
      <c r="S69" s="11" t="n">
        <f aca="false">IF(Q69=0,"",R69/Q69)</f>
        <v>0.122608290137856</v>
      </c>
      <c r="T69" s="10" t="n">
        <f aca="false">TINV(0.05,COUNT(G69:P69)-1)*R69/SQRT(COUNT(G69:P69))</f>
        <v>550.956843195289</v>
      </c>
    </row>
    <row r="70" customFormat="false" ht="15" hidden="false" customHeight="false" outlineLevel="0" collapsed="false">
      <c r="A70" s="3" t="s">
        <v>84</v>
      </c>
      <c r="B70" s="3" t="s">
        <v>29</v>
      </c>
      <c r="C70" s="3" t="s">
        <v>36</v>
      </c>
      <c r="D70" s="3" t="s">
        <v>45</v>
      </c>
      <c r="E70" s="3" t="s">
        <v>25</v>
      </c>
      <c r="F70" s="3" t="s">
        <v>85</v>
      </c>
      <c r="G70" s="9" t="n">
        <v>22.0595703125</v>
      </c>
      <c r="H70" s="9" t="n">
        <v>20.8828125</v>
      </c>
      <c r="I70" s="9" t="n">
        <v>22.0771484375</v>
      </c>
      <c r="J70" s="9" t="n">
        <v>21.41015625</v>
      </c>
      <c r="K70" s="9" t="n">
        <v>20.91796875</v>
      </c>
      <c r="L70" s="9" t="n">
        <v>21.79296875</v>
      </c>
      <c r="M70" s="9" t="n">
        <v>21.85546875</v>
      </c>
      <c r="N70" s="9" t="n">
        <v>21.1240234375</v>
      </c>
      <c r="O70" s="9" t="n">
        <v>20.3134765625</v>
      </c>
      <c r="P70" s="9" t="n">
        <v>18.2314453125</v>
      </c>
      <c r="Q70" s="10" t="n">
        <f aca="false">AVERAGE(G70:P70)</f>
        <v>21.06650390625</v>
      </c>
      <c r="R70" s="10" t="n">
        <f aca="false">STDEV(G70:P70)</f>
        <v>1.15179174503077</v>
      </c>
      <c r="S70" s="11" t="n">
        <f aca="false">IF(Q70=0,"",R70/Q70)</f>
        <v>0.0546740811933707</v>
      </c>
      <c r="T70" s="10" t="n">
        <f aca="false">TINV(0.05,COUNT(G70:P70)-1)*R70/SQRT(COUNT(G70:P70))</f>
        <v>0.823942179047767</v>
      </c>
    </row>
    <row r="71" customFormat="false" ht="15" hidden="false" customHeight="false" outlineLevel="0" collapsed="false">
      <c r="A71" s="3" t="s">
        <v>87</v>
      </c>
      <c r="B71" s="3" t="s">
        <v>29</v>
      </c>
      <c r="C71" s="3" t="s">
        <v>36</v>
      </c>
      <c r="D71" s="3" t="s">
        <v>45</v>
      </c>
      <c r="E71" s="3" t="s">
        <v>25</v>
      </c>
      <c r="F71" s="3" t="s">
        <v>85</v>
      </c>
      <c r="G71" s="9" t="n">
        <v>28.6875</v>
      </c>
      <c r="H71" s="9" t="n">
        <v>23.3017578125</v>
      </c>
      <c r="I71" s="9" t="n">
        <v>22.1953125</v>
      </c>
      <c r="J71" s="9" t="n">
        <v>19.6357421875</v>
      </c>
      <c r="K71" s="9" t="n">
        <v>24.9453125</v>
      </c>
      <c r="L71" s="9" t="n">
        <v>26.669921875</v>
      </c>
      <c r="M71" s="9" t="n">
        <v>29.3603515625</v>
      </c>
      <c r="N71" s="9" t="n">
        <v>24.666015625</v>
      </c>
      <c r="O71" s="9" t="n">
        <v>22.623046875</v>
      </c>
      <c r="P71" s="9" t="n">
        <v>23.2890625</v>
      </c>
      <c r="Q71" s="10" t="n">
        <f aca="false">AVERAGE(G71:P71)</f>
        <v>24.53740234375</v>
      </c>
      <c r="R71" s="10" t="n">
        <f aca="false">STDEV(G71:P71)</f>
        <v>3.00880753609396</v>
      </c>
      <c r="S71" s="11" t="n">
        <f aca="false">IF(Q71=0,"",R71/Q71)</f>
        <v>0.12262127400215</v>
      </c>
      <c r="T71" s="10" t="n">
        <f aca="false">TINV(0.05,COUNT(G71:P71)-1)*R71/SQRT(COUNT(G71:P71))</f>
        <v>2.15237124968139</v>
      </c>
    </row>
    <row r="72" customFormat="false" ht="15" hidden="false" customHeight="false" outlineLevel="0" collapsed="false">
      <c r="A72" s="3" t="s">
        <v>84</v>
      </c>
      <c r="B72" s="3" t="s">
        <v>29</v>
      </c>
      <c r="C72" s="3" t="s">
        <v>36</v>
      </c>
      <c r="D72" s="3" t="s">
        <v>38</v>
      </c>
      <c r="E72" s="3" t="s">
        <v>34</v>
      </c>
      <c r="F72" s="3" t="s">
        <v>89</v>
      </c>
      <c r="G72" s="9" t="n">
        <v>174.552345866</v>
      </c>
      <c r="H72" s="9" t="n">
        <v>184.415143848</v>
      </c>
      <c r="I72" s="9" t="n">
        <v>174.436037284</v>
      </c>
      <c r="J72" s="9" t="n">
        <v>179.795020468</v>
      </c>
      <c r="K72" s="9" t="n">
        <v>184.175709301</v>
      </c>
      <c r="L72" s="9" t="n">
        <v>176.780461579</v>
      </c>
      <c r="M72" s="9" t="n">
        <v>176.311328401</v>
      </c>
      <c r="N72" s="9" t="n">
        <v>182.391062042</v>
      </c>
      <c r="O72" s="9" t="n">
        <v>189.792210688</v>
      </c>
      <c r="P72" s="9" t="n">
        <v>211.441511819</v>
      </c>
      <c r="Q72" s="10" t="n">
        <f aca="false">AVERAGE(G72:P72)</f>
        <v>183.4090831296</v>
      </c>
      <c r="R72" s="10" t="n">
        <f aca="false">STDEV(G72:P72)</f>
        <v>11.0329464077058</v>
      </c>
      <c r="S72" s="11" t="n">
        <f aca="false">IF(Q72=0,"",R72/Q72)</f>
        <v>0.0601548528537692</v>
      </c>
      <c r="T72" s="10" t="n">
        <f aca="false">TINV(0.05,COUNT(G72:P72)-1)*R72/SQRT(COUNT(G72:P72))</f>
        <v>7.89249440595659</v>
      </c>
    </row>
    <row r="73" customFormat="false" ht="15" hidden="false" customHeight="false" outlineLevel="0" collapsed="false">
      <c r="A73" s="3" t="s">
        <v>87</v>
      </c>
      <c r="B73" s="3" t="s">
        <v>29</v>
      </c>
      <c r="C73" s="3" t="s">
        <v>36</v>
      </c>
      <c r="D73" s="3" t="s">
        <v>38</v>
      </c>
      <c r="E73" s="3" t="s">
        <v>34</v>
      </c>
      <c r="F73" s="3" t="s">
        <v>89</v>
      </c>
      <c r="G73" s="9" t="n">
        <v>133.445589754</v>
      </c>
      <c r="H73" s="9" t="n">
        <v>164.594806195</v>
      </c>
      <c r="I73" s="9" t="n">
        <v>172.794882165</v>
      </c>
      <c r="J73" s="9" t="n">
        <v>195.591320691</v>
      </c>
      <c r="K73" s="9" t="n">
        <v>153.819544428</v>
      </c>
      <c r="L73" s="9" t="n">
        <v>143.556886907</v>
      </c>
      <c r="M73" s="9" t="n">
        <v>130.308847026</v>
      </c>
      <c r="N73" s="9" t="n">
        <v>155.166720293</v>
      </c>
      <c r="O73" s="9" t="n">
        <v>169.691147844</v>
      </c>
      <c r="P73" s="9" t="n">
        <v>164.89987199</v>
      </c>
      <c r="Q73" s="10" t="n">
        <f aca="false">AVERAGE(G73:P73)</f>
        <v>158.3869617293</v>
      </c>
      <c r="R73" s="10" t="n">
        <f aca="false">STDEV(G73:P73)</f>
        <v>19.6132251015928</v>
      </c>
      <c r="S73" s="11" t="n">
        <f aca="false">IF(Q73=0,"",R73/Q73)</f>
        <v>0.123831058361445</v>
      </c>
      <c r="T73" s="10" t="n">
        <f aca="false">TINV(0.05,COUNT(G73:P73)-1)*R73/SQRT(COUNT(G73:P73))</f>
        <v>14.0304560247816</v>
      </c>
    </row>
    <row r="74" customFormat="false" ht="15" hidden="false" customHeight="false" outlineLevel="0" collapsed="false">
      <c r="A74" s="3" t="s">
        <v>84</v>
      </c>
      <c r="B74" s="3" t="s">
        <v>29</v>
      </c>
      <c r="C74" s="3" t="s">
        <v>36</v>
      </c>
      <c r="D74" s="3" t="s">
        <v>93</v>
      </c>
      <c r="E74" s="3" t="s">
        <v>34</v>
      </c>
      <c r="F74" s="3" t="s">
        <v>89</v>
      </c>
      <c r="G74" s="9" t="n">
        <v>238.592</v>
      </c>
      <c r="H74" s="9" t="n">
        <v>272.384</v>
      </c>
      <c r="I74" s="9" t="n">
        <v>236.544</v>
      </c>
      <c r="J74" s="9" t="n">
        <v>254.976</v>
      </c>
      <c r="K74" s="9" t="n">
        <v>264.192</v>
      </c>
      <c r="L74" s="9" t="n">
        <v>240.64</v>
      </c>
      <c r="M74" s="9" t="n">
        <v>246.784</v>
      </c>
      <c r="N74" s="9" t="n">
        <v>264.192</v>
      </c>
      <c r="O74" s="9" t="n">
        <v>284.672</v>
      </c>
      <c r="P74" s="9" t="n">
        <v>309.248</v>
      </c>
      <c r="Q74" s="10" t="n">
        <f aca="false">AVERAGE(G74:P74)</f>
        <v>261.2224</v>
      </c>
      <c r="R74" s="10" t="n">
        <f aca="false">STDEV(G74:P74)</f>
        <v>23.0719620280162</v>
      </c>
      <c r="S74" s="11" t="n">
        <f aca="false">IF(Q74=0,"",R74/Q74)</f>
        <v>0.0883230612229894</v>
      </c>
      <c r="T74" s="10" t="n">
        <f aca="false">TINV(0.05,COUNT(G74:P74)-1)*R74/SQRT(COUNT(G74:P74))</f>
        <v>16.5046873710343</v>
      </c>
    </row>
    <row r="75" customFormat="false" ht="15" hidden="false" customHeight="false" outlineLevel="0" collapsed="false">
      <c r="A75" s="3" t="s">
        <v>87</v>
      </c>
      <c r="B75" s="3" t="s">
        <v>29</v>
      </c>
      <c r="C75" s="3" t="s">
        <v>36</v>
      </c>
      <c r="D75" s="3" t="s">
        <v>93</v>
      </c>
      <c r="E75" s="3" t="s">
        <v>34</v>
      </c>
      <c r="F75" s="3" t="s">
        <v>89</v>
      </c>
      <c r="G75" s="9" t="n">
        <v>138.24</v>
      </c>
      <c r="H75" s="9" t="n">
        <v>154.624</v>
      </c>
      <c r="I75" s="9" t="n">
        <v>199.68</v>
      </c>
      <c r="J75" s="9" t="n">
        <v>216.064</v>
      </c>
      <c r="K75" s="9" t="n">
        <v>148.48</v>
      </c>
      <c r="L75" s="9" t="n">
        <v>146.432</v>
      </c>
      <c r="M75" s="9" t="n">
        <v>118.272</v>
      </c>
      <c r="N75" s="9" t="n">
        <v>160.768</v>
      </c>
      <c r="O75" s="9" t="n">
        <v>195.584</v>
      </c>
      <c r="P75" s="9" t="n">
        <v>168.96</v>
      </c>
      <c r="Q75" s="10" t="n">
        <f aca="false">AVERAGE(G75:P75)</f>
        <v>164.7104</v>
      </c>
      <c r="R75" s="10" t="n">
        <f aca="false">STDEV(G75:P75)</f>
        <v>30.5565309956626</v>
      </c>
      <c r="S75" s="11" t="n">
        <f aca="false">IF(Q75=0,"",R75/Q75)</f>
        <v>0.185516706872563</v>
      </c>
      <c r="T75" s="10" t="n">
        <f aca="false">TINV(0.05,COUNT(G75:P75)-1)*R75/SQRT(COUNT(G75:P75))</f>
        <v>21.8588254702539</v>
      </c>
    </row>
    <row r="76" customFormat="false" ht="15" hidden="false" customHeight="false" outlineLevel="0" collapsed="false">
      <c r="A76" s="3" t="s">
        <v>84</v>
      </c>
      <c r="B76" s="3" t="s">
        <v>29</v>
      </c>
      <c r="C76" s="3" t="s">
        <v>39</v>
      </c>
      <c r="D76" s="3" t="s">
        <v>31</v>
      </c>
      <c r="E76" s="3" t="s">
        <v>32</v>
      </c>
      <c r="F76" s="3" t="s">
        <v>85</v>
      </c>
      <c r="G76" s="9" t="n">
        <v>2293.380441</v>
      </c>
      <c r="H76" s="9" t="n">
        <v>2398.173455</v>
      </c>
      <c r="I76" s="9" t="n">
        <v>2472.70182</v>
      </c>
      <c r="J76" s="9" t="n">
        <v>2284.181055</v>
      </c>
      <c r="K76" s="9" t="n">
        <v>2415.238984</v>
      </c>
      <c r="L76" s="9" t="n">
        <v>2431.037931</v>
      </c>
      <c r="M76" s="9" t="n">
        <v>2325.311646</v>
      </c>
      <c r="N76" s="9" t="n">
        <v>2402.039864</v>
      </c>
      <c r="O76" s="9" t="n">
        <v>2194.120392</v>
      </c>
      <c r="P76" s="9" t="n">
        <v>2148.523432</v>
      </c>
      <c r="Q76" s="10" t="n">
        <f aca="false">AVERAGE(G76:P76)</f>
        <v>2336.470902</v>
      </c>
      <c r="R76" s="10" t="n">
        <f aca="false">STDEV(G76:P76)</f>
        <v>106.51872796162</v>
      </c>
      <c r="S76" s="11" t="n">
        <f aca="false">IF(Q76=0,"",R76/Q76)</f>
        <v>0.0455895803668861</v>
      </c>
      <c r="T76" s="10" t="n">
        <f aca="false">TINV(0.05,COUNT(G76:P76)-1)*R76/SQRT(COUNT(G76:P76))</f>
        <v>76.1989076625553</v>
      </c>
    </row>
    <row r="77" customFormat="false" ht="15" hidden="false" customHeight="false" outlineLevel="0" collapsed="false">
      <c r="A77" s="3" t="s">
        <v>87</v>
      </c>
      <c r="B77" s="3" t="s">
        <v>29</v>
      </c>
      <c r="C77" s="3" t="s">
        <v>39</v>
      </c>
      <c r="D77" s="3" t="s">
        <v>31</v>
      </c>
      <c r="E77" s="3" t="s">
        <v>32</v>
      </c>
      <c r="F77" s="3" t="s">
        <v>85</v>
      </c>
      <c r="G77" s="9" t="n">
        <v>3276.514899</v>
      </c>
      <c r="H77" s="9" t="n">
        <v>2376.841544</v>
      </c>
      <c r="I77" s="9" t="n">
        <v>3244.650357</v>
      </c>
      <c r="J77" s="9" t="n">
        <v>2585.894274</v>
      </c>
      <c r="K77" s="9" t="n">
        <v>3676.154923</v>
      </c>
      <c r="L77" s="9" t="n">
        <v>3859.542697</v>
      </c>
      <c r="M77" s="9" t="n">
        <v>3481.567895</v>
      </c>
      <c r="N77" s="9" t="n">
        <v>2885.474302</v>
      </c>
      <c r="O77" s="9" t="n">
        <v>2754.883008</v>
      </c>
      <c r="P77" s="9" t="n">
        <v>2862.742484</v>
      </c>
      <c r="Q77" s="10" t="n">
        <f aca="false">AVERAGE(G77:P77)</f>
        <v>3100.4266383</v>
      </c>
      <c r="R77" s="10" t="n">
        <f aca="false">STDEV(G77:P77)</f>
        <v>484.792518009625</v>
      </c>
      <c r="S77" s="11" t="n">
        <f aca="false">IF(Q77=0,"",R77/Q77)</f>
        <v>0.156363163708154</v>
      </c>
      <c r="T77" s="10" t="n">
        <f aca="false">TINV(0.05,COUNT(G77:P77)-1)*R77/SQRT(COUNT(G77:P77))</f>
        <v>346.799675721093</v>
      </c>
    </row>
    <row r="78" customFormat="false" ht="15" hidden="false" customHeight="false" outlineLevel="0" collapsed="false">
      <c r="A78" s="3" t="s">
        <v>84</v>
      </c>
      <c r="B78" s="3" t="s">
        <v>29</v>
      </c>
      <c r="C78" s="3" t="s">
        <v>39</v>
      </c>
      <c r="D78" s="3" t="s">
        <v>43</v>
      </c>
      <c r="E78" s="3" t="s">
        <v>25</v>
      </c>
      <c r="F78" s="3" t="s">
        <v>85</v>
      </c>
      <c r="G78" s="9" t="n">
        <v>8.9580078125</v>
      </c>
      <c r="H78" s="9" t="n">
        <v>9.3671875</v>
      </c>
      <c r="I78" s="9" t="n">
        <v>9.658203125</v>
      </c>
      <c r="J78" s="9" t="n">
        <v>8.921875</v>
      </c>
      <c r="K78" s="9" t="n">
        <v>9.43359375</v>
      </c>
      <c r="L78" s="9" t="n">
        <v>9.49609375</v>
      </c>
      <c r="M78" s="9" t="n">
        <v>9.0830078125</v>
      </c>
      <c r="N78" s="9" t="n">
        <v>9.3828125</v>
      </c>
      <c r="O78" s="9" t="n">
        <v>8.5703125</v>
      </c>
      <c r="P78" s="9" t="n">
        <v>8.392578125</v>
      </c>
      <c r="Q78" s="10" t="n">
        <f aca="false">AVERAGE(G78:P78)</f>
        <v>9.1263671875</v>
      </c>
      <c r="R78" s="10" t="n">
        <f aca="false">STDEV(G78:P78)</f>
        <v>0.415983326374003</v>
      </c>
      <c r="S78" s="11" t="n">
        <f aca="false">IF(Q78=0,"",R78/Q78)</f>
        <v>0.0455803845963768</v>
      </c>
      <c r="T78" s="10" t="n">
        <f aca="false">TINV(0.05,COUNT(G78:P78)-1)*R78/SQRT(COUNT(G78:P78))</f>
        <v>0.297576545290292</v>
      </c>
    </row>
    <row r="79" customFormat="false" ht="15" hidden="false" customHeight="false" outlineLevel="0" collapsed="false">
      <c r="A79" s="3" t="s">
        <v>87</v>
      </c>
      <c r="B79" s="3" t="s">
        <v>29</v>
      </c>
      <c r="C79" s="3" t="s">
        <v>39</v>
      </c>
      <c r="D79" s="3" t="s">
        <v>43</v>
      </c>
      <c r="E79" s="3" t="s">
        <v>25</v>
      </c>
      <c r="F79" s="3" t="s">
        <v>85</v>
      </c>
      <c r="G79" s="9" t="n">
        <v>12.798828125</v>
      </c>
      <c r="H79" s="9" t="n">
        <v>9.2841796875</v>
      </c>
      <c r="I79" s="9" t="n">
        <v>12.673828125</v>
      </c>
      <c r="J79" s="9" t="n">
        <v>10.1005859375</v>
      </c>
      <c r="K79" s="9" t="n">
        <v>14.359375</v>
      </c>
      <c r="L79" s="9" t="n">
        <v>15.076171875</v>
      </c>
      <c r="M79" s="9" t="n">
        <v>13.599609375</v>
      </c>
      <c r="N79" s="9" t="n">
        <v>11.2705078125</v>
      </c>
      <c r="O79" s="9" t="n">
        <v>10.7607421875</v>
      </c>
      <c r="P79" s="9" t="n">
        <v>11.181640625</v>
      </c>
      <c r="Q79" s="10" t="n">
        <f aca="false">AVERAGE(G79:P79)</f>
        <v>12.110546875</v>
      </c>
      <c r="R79" s="10" t="n">
        <f aca="false">STDEV(G79:P79)</f>
        <v>1.89382866590084</v>
      </c>
      <c r="S79" s="11" t="n">
        <f aca="false">IF(Q79=0,"",R79/Q79)</f>
        <v>0.156378459655716</v>
      </c>
      <c r="T79" s="10" t="n">
        <f aca="false">TINV(0.05,COUNT(G79:P79)-1)*R79/SQRT(COUNT(G79:P79))</f>
        <v>1.35476341487738</v>
      </c>
    </row>
    <row r="80" customFormat="false" ht="15" hidden="false" customHeight="false" outlineLevel="0" collapsed="false">
      <c r="A80" s="3" t="s">
        <v>84</v>
      </c>
      <c r="B80" s="3" t="s">
        <v>29</v>
      </c>
      <c r="C80" s="3" t="s">
        <v>39</v>
      </c>
      <c r="D80" s="3" t="s">
        <v>33</v>
      </c>
      <c r="E80" s="3" t="s">
        <v>34</v>
      </c>
      <c r="F80" s="3" t="s">
        <v>89</v>
      </c>
      <c r="G80" s="9" t="n">
        <v>240.597151033</v>
      </c>
      <c r="H80" s="9" t="n">
        <v>230.770810202</v>
      </c>
      <c r="I80" s="9" t="n">
        <v>223.755863236</v>
      </c>
      <c r="J80" s="9" t="n">
        <v>242.040377236</v>
      </c>
      <c r="K80" s="9" t="n">
        <v>231.283748199</v>
      </c>
      <c r="L80" s="9" t="n">
        <v>230.279289267</v>
      </c>
      <c r="M80" s="9" t="n">
        <v>240.267032338</v>
      </c>
      <c r="N80" s="9" t="n">
        <v>231.097548109</v>
      </c>
      <c r="O80" s="9" t="n">
        <v>255.857138695</v>
      </c>
      <c r="P80" s="9" t="n">
        <v>248.821184642</v>
      </c>
      <c r="Q80" s="10" t="n">
        <f aca="false">AVERAGE(G80:P80)</f>
        <v>237.4770142957</v>
      </c>
      <c r="R80" s="10" t="n">
        <f aca="false">STDEV(G80:P80)</f>
        <v>9.8260846059543</v>
      </c>
      <c r="S80" s="11" t="n">
        <f aca="false">IF(Q80=0,"",R80/Q80)</f>
        <v>0.0413769923590126</v>
      </c>
      <c r="T80" s="10" t="n">
        <f aca="false">TINV(0.05,COUNT(G80:P80)-1)*R80/SQRT(COUNT(G80:P80))</f>
        <v>7.02915748152145</v>
      </c>
    </row>
    <row r="81" customFormat="false" ht="15" hidden="false" customHeight="false" outlineLevel="0" collapsed="false">
      <c r="A81" s="3" t="s">
        <v>87</v>
      </c>
      <c r="B81" s="3" t="s">
        <v>29</v>
      </c>
      <c r="C81" s="3" t="s">
        <v>39</v>
      </c>
      <c r="D81" s="3" t="s">
        <v>33</v>
      </c>
      <c r="E81" s="3" t="s">
        <v>34</v>
      </c>
      <c r="F81" s="3" t="s">
        <v>89</v>
      </c>
      <c r="G81" s="9" t="n">
        <v>146.917332079</v>
      </c>
      <c r="H81" s="9" t="n">
        <v>203.180335577</v>
      </c>
      <c r="I81" s="9" t="n">
        <v>144.079149385</v>
      </c>
      <c r="J81" s="9" t="n">
        <v>187.376059163</v>
      </c>
      <c r="K81" s="9" t="n">
        <v>131.328384126</v>
      </c>
      <c r="L81" s="9" t="n">
        <v>125.199618961</v>
      </c>
      <c r="M81" s="9" t="n">
        <v>140.12288774</v>
      </c>
      <c r="N81" s="9" t="n">
        <v>166.904674206</v>
      </c>
      <c r="O81" s="9" t="n">
        <v>175.644378188</v>
      </c>
      <c r="P81" s="9" t="n">
        <v>168.82667744</v>
      </c>
      <c r="Q81" s="10" t="n">
        <f aca="false">AVERAGE(G81:P81)</f>
        <v>158.9579496865</v>
      </c>
      <c r="R81" s="10" t="n">
        <f aca="false">STDEV(G81:P81)</f>
        <v>25.443444888197</v>
      </c>
      <c r="S81" s="11" t="n">
        <f aca="false">IF(Q81=0,"",R81/Q81)</f>
        <v>0.16006399766968</v>
      </c>
      <c r="T81" s="10" t="n">
        <f aca="false">TINV(0.05,COUNT(G81:P81)-1)*R81/SQRT(COUNT(G81:P81))</f>
        <v>18.2011440124558</v>
      </c>
    </row>
    <row r="82" customFormat="false" ht="15" hidden="false" customHeight="false" outlineLevel="0" collapsed="false">
      <c r="A82" s="3" t="s">
        <v>84</v>
      </c>
      <c r="B82" s="3" t="s">
        <v>29</v>
      </c>
      <c r="C82" s="3" t="s">
        <v>39</v>
      </c>
      <c r="D82" s="3" t="s">
        <v>35</v>
      </c>
      <c r="E82" s="3" t="s">
        <v>34</v>
      </c>
      <c r="F82" s="3" t="s">
        <v>89</v>
      </c>
      <c r="G82" s="9" t="n">
        <v>342.016</v>
      </c>
      <c r="H82" s="9" t="n">
        <v>333.824</v>
      </c>
      <c r="I82" s="9" t="n">
        <v>309.248</v>
      </c>
      <c r="J82" s="9" t="n">
        <v>342.016</v>
      </c>
      <c r="K82" s="9" t="n">
        <v>325.632</v>
      </c>
      <c r="L82" s="9" t="n">
        <v>325.632</v>
      </c>
      <c r="M82" s="9" t="n">
        <v>333.824</v>
      </c>
      <c r="N82" s="9" t="n">
        <v>325.632</v>
      </c>
      <c r="O82" s="9" t="n">
        <v>366.592</v>
      </c>
      <c r="P82" s="9" t="n">
        <v>358.4</v>
      </c>
      <c r="Q82" s="10" t="n">
        <f aca="false">AVERAGE(G82:P82)</f>
        <v>336.2816</v>
      </c>
      <c r="R82" s="10" t="n">
        <f aca="false">STDEV(G82:P82)</f>
        <v>16.8550939164792</v>
      </c>
      <c r="S82" s="11" t="n">
        <f aca="false">IF(Q82=0,"",R82/Q82)</f>
        <v>0.0501219630109978</v>
      </c>
      <c r="T82" s="10" t="n">
        <f aca="false">TINV(0.05,COUNT(G82:P82)-1)*R82/SQRT(COUNT(G82:P82))</f>
        <v>12.0574078339375</v>
      </c>
    </row>
    <row r="83" customFormat="false" ht="15" hidden="false" customHeight="false" outlineLevel="0" collapsed="false">
      <c r="A83" s="3" t="s">
        <v>87</v>
      </c>
      <c r="B83" s="3" t="s">
        <v>29</v>
      </c>
      <c r="C83" s="3" t="s">
        <v>39</v>
      </c>
      <c r="D83" s="3" t="s">
        <v>35</v>
      </c>
      <c r="E83" s="3" t="s">
        <v>34</v>
      </c>
      <c r="F83" s="3" t="s">
        <v>89</v>
      </c>
      <c r="G83" s="9" t="n">
        <v>148.48</v>
      </c>
      <c r="H83" s="9" t="n">
        <v>234.496</v>
      </c>
      <c r="I83" s="9" t="n">
        <v>152.576</v>
      </c>
      <c r="J83" s="9" t="n">
        <v>207.872</v>
      </c>
      <c r="K83" s="9" t="n">
        <v>136.192</v>
      </c>
      <c r="L83" s="9" t="n">
        <v>116.224</v>
      </c>
      <c r="M83" s="9" t="n">
        <v>166.912</v>
      </c>
      <c r="N83" s="9" t="n">
        <v>201.728</v>
      </c>
      <c r="O83" s="9" t="n">
        <v>205.824</v>
      </c>
      <c r="P83" s="9" t="n">
        <v>181.248</v>
      </c>
      <c r="Q83" s="10" t="n">
        <f aca="false">AVERAGE(G83:P83)</f>
        <v>175.1552</v>
      </c>
      <c r="R83" s="10" t="n">
        <f aca="false">STDEV(G83:P83)</f>
        <v>37.3510150889876</v>
      </c>
      <c r="S83" s="11" t="n">
        <f aca="false">IF(Q83=0,"",R83/Q83)</f>
        <v>0.213245253860505</v>
      </c>
      <c r="T83" s="10" t="n">
        <f aca="false">TINV(0.05,COUNT(G83:P83)-1)*R83/SQRT(COUNT(G83:P83))</f>
        <v>26.7193065889218</v>
      </c>
    </row>
    <row r="84" customFormat="false" ht="15" hidden="false" customHeight="false" outlineLevel="0" collapsed="false">
      <c r="A84" s="3" t="s">
        <v>84</v>
      </c>
      <c r="B84" s="3" t="s">
        <v>29</v>
      </c>
      <c r="C84" s="3" t="s">
        <v>39</v>
      </c>
      <c r="D84" s="3" t="s">
        <v>37</v>
      </c>
      <c r="E84" s="3" t="s">
        <v>32</v>
      </c>
      <c r="F84" s="3" t="s">
        <v>85</v>
      </c>
      <c r="G84" s="9" t="n">
        <v>2279.448037</v>
      </c>
      <c r="H84" s="9" t="n">
        <v>2376.308246</v>
      </c>
      <c r="I84" s="9" t="n">
        <v>2450.769949</v>
      </c>
      <c r="J84" s="9" t="n">
        <v>2272.64849</v>
      </c>
      <c r="K84" s="9" t="n">
        <v>2391.240584</v>
      </c>
      <c r="L84" s="9" t="n">
        <v>2406.639557</v>
      </c>
      <c r="M84" s="9" t="n">
        <v>2313.512433</v>
      </c>
      <c r="N84" s="9" t="n">
        <v>2377.641491</v>
      </c>
      <c r="O84" s="9" t="n">
        <v>2185.65429</v>
      </c>
      <c r="P84" s="9" t="n">
        <v>2142.323845</v>
      </c>
      <c r="Q84" s="10" t="n">
        <f aca="false">AVERAGE(G84:P84)</f>
        <v>2319.6186922</v>
      </c>
      <c r="R84" s="10" t="n">
        <f aca="false">STDEV(G84:P84)</f>
        <v>99.8445574559649</v>
      </c>
      <c r="S84" s="11" t="n">
        <f aca="false">IF(Q84=0,"",R84/Q84)</f>
        <v>0.0430435216752237</v>
      </c>
      <c r="T84" s="10" t="n">
        <f aca="false">TINV(0.05,COUNT(G84:P84)-1)*R84/SQRT(COUNT(G84:P84))</f>
        <v>71.4244936997093</v>
      </c>
    </row>
    <row r="85" customFormat="false" ht="15" hidden="false" customHeight="false" outlineLevel="0" collapsed="false">
      <c r="A85" s="3" t="s">
        <v>87</v>
      </c>
      <c r="B85" s="3" t="s">
        <v>29</v>
      </c>
      <c r="C85" s="3" t="s">
        <v>39</v>
      </c>
      <c r="D85" s="3" t="s">
        <v>37</v>
      </c>
      <c r="E85" s="3" t="s">
        <v>32</v>
      </c>
      <c r="F85" s="3" t="s">
        <v>85</v>
      </c>
      <c r="G85" s="9" t="n">
        <v>3265.982268</v>
      </c>
      <c r="H85" s="9" t="n">
        <v>2354.109726</v>
      </c>
      <c r="I85" s="9" t="n">
        <v>3232.317845</v>
      </c>
      <c r="J85" s="9" t="n">
        <v>2561.695887</v>
      </c>
      <c r="K85" s="9" t="n">
        <v>3656.089594</v>
      </c>
      <c r="L85" s="9" t="n">
        <v>3835.477635</v>
      </c>
      <c r="M85" s="9" t="n">
        <v>3468.702087</v>
      </c>
      <c r="N85" s="9" t="n">
        <v>2870.075328</v>
      </c>
      <c r="O85" s="9" t="n">
        <v>2731.151257</v>
      </c>
      <c r="P85" s="9" t="n">
        <v>2849.14339</v>
      </c>
      <c r="Q85" s="10" t="n">
        <f aca="false">AVERAGE(G85:P85)</f>
        <v>3082.4745017</v>
      </c>
      <c r="R85" s="10" t="n">
        <f aca="false">STDEV(G85:P85)</f>
        <v>486.033643016597</v>
      </c>
      <c r="S85" s="11" t="n">
        <f aca="false">IF(Q85=0,"",R85/Q85)</f>
        <v>0.157676452067502</v>
      </c>
      <c r="T85" s="10" t="n">
        <f aca="false">TINV(0.05,COUNT(G85:P85)-1)*R85/SQRT(COUNT(G85:P85))</f>
        <v>347.687523066003</v>
      </c>
    </row>
    <row r="86" customFormat="false" ht="15" hidden="false" customHeight="false" outlineLevel="0" collapsed="false">
      <c r="A86" s="3" t="s">
        <v>84</v>
      </c>
      <c r="B86" s="3" t="s">
        <v>29</v>
      </c>
      <c r="C86" s="3" t="s">
        <v>39</v>
      </c>
      <c r="D86" s="3" t="s">
        <v>45</v>
      </c>
      <c r="E86" s="3" t="s">
        <v>25</v>
      </c>
      <c r="F86" s="3" t="s">
        <v>85</v>
      </c>
      <c r="G86" s="9" t="n">
        <v>8.9033203125</v>
      </c>
      <c r="H86" s="9" t="n">
        <v>9.2822265625</v>
      </c>
      <c r="I86" s="9" t="n">
        <v>9.5732421875</v>
      </c>
      <c r="J86" s="9" t="n">
        <v>8.876953125</v>
      </c>
      <c r="K86" s="9" t="n">
        <v>9.33984375</v>
      </c>
      <c r="L86" s="9" t="n">
        <v>9.400390625</v>
      </c>
      <c r="M86" s="9" t="n">
        <v>9.037109375</v>
      </c>
      <c r="N86" s="9" t="n">
        <v>9.287109375</v>
      </c>
      <c r="O86" s="9" t="n">
        <v>8.537109375</v>
      </c>
      <c r="P86" s="9" t="n">
        <v>8.3681640625</v>
      </c>
      <c r="Q86" s="10" t="n">
        <f aca="false">AVERAGE(G86:P86)</f>
        <v>9.060546875</v>
      </c>
      <c r="R86" s="10" t="n">
        <f aca="false">STDEV(G86:P86)</f>
        <v>0.390040795781841</v>
      </c>
      <c r="S86" s="11" t="n">
        <f aca="false">IF(Q86=0,"",R86/Q86)</f>
        <v>0.0430482620048077</v>
      </c>
      <c r="T86" s="10" t="n">
        <f aca="false">TINV(0.05,COUNT(G86:P86)-1)*R86/SQRT(COUNT(G86:P86))</f>
        <v>0.279018376872834</v>
      </c>
    </row>
    <row r="87" customFormat="false" ht="15" hidden="false" customHeight="false" outlineLevel="0" collapsed="false">
      <c r="A87" s="3" t="s">
        <v>87</v>
      </c>
      <c r="B87" s="3" t="s">
        <v>29</v>
      </c>
      <c r="C87" s="3" t="s">
        <v>39</v>
      </c>
      <c r="D87" s="3" t="s">
        <v>45</v>
      </c>
      <c r="E87" s="3" t="s">
        <v>25</v>
      </c>
      <c r="F87" s="3" t="s">
        <v>85</v>
      </c>
      <c r="G87" s="9" t="n">
        <v>12.7568359375</v>
      </c>
      <c r="H87" s="9" t="n">
        <v>9.1953125</v>
      </c>
      <c r="I87" s="9" t="n">
        <v>12.6259765625</v>
      </c>
      <c r="J87" s="9" t="n">
        <v>10.005859375</v>
      </c>
      <c r="K87" s="9" t="n">
        <v>14.28125</v>
      </c>
      <c r="L87" s="9" t="n">
        <v>14.9814453125</v>
      </c>
      <c r="M87" s="9" t="n">
        <v>13.548828125</v>
      </c>
      <c r="N87" s="9" t="n">
        <v>11.2109375</v>
      </c>
      <c r="O87" s="9" t="n">
        <v>10.66796875</v>
      </c>
      <c r="P87" s="9" t="n">
        <v>11.12890625</v>
      </c>
      <c r="Q87" s="10" t="n">
        <f aca="false">AVERAGE(G87:P87)</f>
        <v>12.04033203125</v>
      </c>
      <c r="R87" s="10" t="n">
        <f aca="false">STDEV(G87:P87)</f>
        <v>1.89850721610621</v>
      </c>
      <c r="S87" s="11" t="n">
        <f aca="false">IF(Q87=0,"",R87/Q87)</f>
        <v>0.15767897522915</v>
      </c>
      <c r="T87" s="10" t="n">
        <f aca="false">TINV(0.05,COUNT(G87:P87)-1)*R87/SQRT(COUNT(G87:P87))</f>
        <v>1.35811024807672</v>
      </c>
    </row>
    <row r="88" customFormat="false" ht="15" hidden="false" customHeight="false" outlineLevel="0" collapsed="false">
      <c r="A88" s="3" t="s">
        <v>84</v>
      </c>
      <c r="B88" s="3" t="s">
        <v>29</v>
      </c>
      <c r="C88" s="3" t="s">
        <v>39</v>
      </c>
      <c r="D88" s="3" t="s">
        <v>38</v>
      </c>
      <c r="E88" s="3" t="s">
        <v>34</v>
      </c>
      <c r="F88" s="3" t="s">
        <v>89</v>
      </c>
      <c r="G88" s="9" t="n">
        <v>191.421866497</v>
      </c>
      <c r="H88" s="9" t="n">
        <v>182.728026931</v>
      </c>
      <c r="I88" s="9" t="n">
        <v>177.329146584</v>
      </c>
      <c r="J88" s="9" t="n">
        <v>191.446035551</v>
      </c>
      <c r="K88" s="9" t="n">
        <v>179.43498043</v>
      </c>
      <c r="L88" s="9" t="n">
        <v>177.89390729</v>
      </c>
      <c r="M88" s="9" t="n">
        <v>185.334695231</v>
      </c>
      <c r="N88" s="9" t="n">
        <v>181.962886141</v>
      </c>
      <c r="O88" s="9" t="n">
        <v>195.412056272</v>
      </c>
      <c r="P88" s="9" t="n">
        <v>211.466430221</v>
      </c>
      <c r="Q88" s="10" t="n">
        <f aca="false">AVERAGE(G88:P88)</f>
        <v>187.4430031148</v>
      </c>
      <c r="R88" s="10" t="n">
        <f aca="false">STDEV(G88:P88)</f>
        <v>10.4711130553377</v>
      </c>
      <c r="S88" s="11" t="n">
        <f aca="false">IF(Q88=0,"",R88/Q88)</f>
        <v>0.055862917694104</v>
      </c>
      <c r="T88" s="10" t="n">
        <f aca="false">TINV(0.05,COUNT(G88:P88)-1)*R88/SQRT(COUNT(G88:P88))</f>
        <v>7.49058303733544</v>
      </c>
    </row>
    <row r="89" customFormat="false" ht="15" hidden="false" customHeight="false" outlineLevel="0" collapsed="false">
      <c r="A89" s="3" t="s">
        <v>87</v>
      </c>
      <c r="B89" s="3" t="s">
        <v>29</v>
      </c>
      <c r="C89" s="3" t="s">
        <v>39</v>
      </c>
      <c r="D89" s="3" t="s">
        <v>38</v>
      </c>
      <c r="E89" s="3" t="s">
        <v>34</v>
      </c>
      <c r="F89" s="3" t="s">
        <v>89</v>
      </c>
      <c r="G89" s="9" t="n">
        <v>152.838106811</v>
      </c>
      <c r="H89" s="9" t="n">
        <v>211.88434938</v>
      </c>
      <c r="I89" s="9" t="n">
        <v>158.697597096</v>
      </c>
      <c r="J89" s="9" t="n">
        <v>194.505029458</v>
      </c>
      <c r="K89" s="9" t="n">
        <v>135.896222007</v>
      </c>
      <c r="L89" s="9" t="n">
        <v>129.303386019</v>
      </c>
      <c r="M89" s="9" t="n">
        <v>142.016755275</v>
      </c>
      <c r="N89" s="9" t="n">
        <v>174.267810122</v>
      </c>
      <c r="O89" s="9" t="n">
        <v>182.372530608</v>
      </c>
      <c r="P89" s="9" t="n">
        <v>175.268599602</v>
      </c>
      <c r="Q89" s="10" t="n">
        <f aca="false">AVERAGE(G89:P89)</f>
        <v>165.7050386378</v>
      </c>
      <c r="R89" s="10" t="n">
        <f aca="false">STDEV(G89:P89)</f>
        <v>26.6541617697532</v>
      </c>
      <c r="S89" s="11" t="n">
        <f aca="false">IF(Q89=0,"",R89/Q89)</f>
        <v>0.160853055458466</v>
      </c>
      <c r="T89" s="10" t="n">
        <f aca="false">TINV(0.05,COUNT(G89:P89)-1)*R89/SQRT(COUNT(G89:P89))</f>
        <v>19.0672386948523</v>
      </c>
    </row>
    <row r="90" customFormat="false" ht="15" hidden="false" customHeight="false" outlineLevel="0" collapsed="false">
      <c r="A90" s="3" t="s">
        <v>84</v>
      </c>
      <c r="B90" s="3" t="s">
        <v>29</v>
      </c>
      <c r="C90" s="3" t="s">
        <v>39</v>
      </c>
      <c r="D90" s="3" t="s">
        <v>93</v>
      </c>
      <c r="E90" s="3" t="s">
        <v>34</v>
      </c>
      <c r="F90" s="3" t="s">
        <v>89</v>
      </c>
      <c r="G90" s="9" t="n">
        <v>272.384</v>
      </c>
      <c r="H90" s="9" t="n">
        <v>272.384</v>
      </c>
      <c r="I90" s="9" t="n">
        <v>240.64</v>
      </c>
      <c r="J90" s="9" t="n">
        <v>276.48</v>
      </c>
      <c r="K90" s="9" t="n">
        <v>257.024</v>
      </c>
      <c r="L90" s="9" t="n">
        <v>244.736</v>
      </c>
      <c r="M90" s="9" t="n">
        <v>268.288</v>
      </c>
      <c r="N90" s="9" t="n">
        <v>257.024</v>
      </c>
      <c r="O90" s="9" t="n">
        <v>288.768</v>
      </c>
      <c r="P90" s="9" t="n">
        <v>301.056</v>
      </c>
      <c r="Q90" s="10" t="n">
        <f aca="false">AVERAGE(G90:P90)</f>
        <v>267.8784</v>
      </c>
      <c r="R90" s="10" t="n">
        <f aca="false">STDEV(G90:P90)</f>
        <v>18.7528421502212</v>
      </c>
      <c r="S90" s="11" t="n">
        <f aca="false">IF(Q90=0,"",R90/Q90)</f>
        <v>0.0700050550929868</v>
      </c>
      <c r="T90" s="10" t="n">
        <f aca="false">TINV(0.05,COUNT(G90:P90)-1)*R90/SQRT(COUNT(G90:P90))</f>
        <v>13.4149751387385</v>
      </c>
    </row>
    <row r="91" customFormat="false" ht="15" hidden="false" customHeight="false" outlineLevel="0" collapsed="false">
      <c r="A91" s="3" t="s">
        <v>87</v>
      </c>
      <c r="B91" s="3" t="s">
        <v>29</v>
      </c>
      <c r="C91" s="3" t="s">
        <v>39</v>
      </c>
      <c r="D91" s="3" t="s">
        <v>93</v>
      </c>
      <c r="E91" s="3" t="s">
        <v>34</v>
      </c>
      <c r="F91" s="3" t="s">
        <v>89</v>
      </c>
      <c r="G91" s="9" t="n">
        <v>148.48</v>
      </c>
      <c r="H91" s="9" t="n">
        <v>242.688</v>
      </c>
      <c r="I91" s="9" t="n">
        <v>156.672</v>
      </c>
      <c r="J91" s="9" t="n">
        <v>211.968</v>
      </c>
      <c r="K91" s="9" t="n">
        <v>136.192</v>
      </c>
      <c r="L91" s="9" t="n">
        <v>119.296</v>
      </c>
      <c r="M91" s="9" t="n">
        <v>168.96</v>
      </c>
      <c r="N91" s="9" t="n">
        <v>207.872</v>
      </c>
      <c r="O91" s="9" t="n">
        <v>207.872</v>
      </c>
      <c r="P91" s="9" t="n">
        <v>183.296</v>
      </c>
      <c r="Q91" s="10" t="n">
        <f aca="false">AVERAGE(G91:P91)</f>
        <v>178.3296</v>
      </c>
      <c r="R91" s="10" t="n">
        <f aca="false">STDEV(G91:P91)</f>
        <v>39.0897833404075</v>
      </c>
      <c r="S91" s="11" t="n">
        <f aca="false">IF(Q91=0,"",R91/Q91)</f>
        <v>0.219199635620825</v>
      </c>
      <c r="T91" s="10" t="n">
        <f aca="false">TINV(0.05,COUNT(G91:P91)-1)*R91/SQRT(COUNT(G91:P91))</f>
        <v>27.9631464654575</v>
      </c>
    </row>
    <row r="92" customFormat="false" ht="15" hidden="false" customHeight="false" outlineLevel="0" collapsed="false">
      <c r="A92" s="3" t="s">
        <v>84</v>
      </c>
      <c r="B92" s="3" t="s">
        <v>29</v>
      </c>
      <c r="C92" s="3" t="s">
        <v>39</v>
      </c>
      <c r="D92" s="3" t="s">
        <v>40</v>
      </c>
      <c r="E92" s="3" t="s">
        <v>32</v>
      </c>
      <c r="F92" s="3" t="s">
        <v>85</v>
      </c>
      <c r="G92" s="9" t="n">
        <v>4572.828478</v>
      </c>
      <c r="H92" s="9" t="n">
        <v>4774.481701</v>
      </c>
      <c r="I92" s="9" t="n">
        <v>4923.471769</v>
      </c>
      <c r="J92" s="9" t="n">
        <v>4556.829545</v>
      </c>
      <c r="K92" s="9" t="n">
        <v>4806.479568</v>
      </c>
      <c r="L92" s="9" t="n">
        <v>4837.677488</v>
      </c>
      <c r="M92" s="9" t="n">
        <v>4638.824079</v>
      </c>
      <c r="N92" s="9" t="n">
        <v>4779.681355</v>
      </c>
      <c r="O92" s="9" t="n">
        <v>4379.774682</v>
      </c>
      <c r="P92" s="9" t="n">
        <v>4290.847277</v>
      </c>
      <c r="Q92" s="10" t="n">
        <f aca="false">AVERAGE(G92:P92)</f>
        <v>4656.0895942</v>
      </c>
      <c r="R92" s="10" t="n">
        <f aca="false">STDEV(G92:P92)</f>
        <v>206.346822099791</v>
      </c>
      <c r="S92" s="11" t="n">
        <f aca="false">IF(Q92=0,"",R92/Q92)</f>
        <v>0.0443176227443805</v>
      </c>
      <c r="T92" s="10" t="n">
        <f aca="false">TINV(0.05,COUNT(G92:P92)-1)*R92/SQRT(COUNT(G92:P92))</f>
        <v>147.611624214186</v>
      </c>
    </row>
    <row r="93" customFormat="false" ht="15" hidden="false" customHeight="false" outlineLevel="0" collapsed="false">
      <c r="A93" s="3" t="s">
        <v>87</v>
      </c>
      <c r="B93" s="3" t="s">
        <v>29</v>
      </c>
      <c r="C93" s="3" t="s">
        <v>39</v>
      </c>
      <c r="D93" s="3" t="s">
        <v>40</v>
      </c>
      <c r="E93" s="3" t="s">
        <v>32</v>
      </c>
      <c r="F93" s="3" t="s">
        <v>85</v>
      </c>
      <c r="G93" s="9" t="n">
        <v>6542.497167</v>
      </c>
      <c r="H93" s="9" t="n">
        <v>4730.95127</v>
      </c>
      <c r="I93" s="9" t="n">
        <v>6476.968202</v>
      </c>
      <c r="J93" s="9" t="n">
        <v>5147.590161</v>
      </c>
      <c r="K93" s="9" t="n">
        <v>7332.244517</v>
      </c>
      <c r="L93" s="9" t="n">
        <v>7695.020332</v>
      </c>
      <c r="M93" s="9" t="n">
        <v>6950.269982</v>
      </c>
      <c r="N93" s="9" t="n">
        <v>5755.54963</v>
      </c>
      <c r="O93" s="9" t="n">
        <v>5486.034265</v>
      </c>
      <c r="P93" s="9" t="n">
        <v>5711.885874</v>
      </c>
      <c r="Q93" s="10" t="n">
        <f aca="false">AVERAGE(G93:P93)</f>
        <v>6182.90114</v>
      </c>
      <c r="R93" s="10" t="n">
        <f aca="false">STDEV(G93:P93)</f>
        <v>970.8112135927</v>
      </c>
      <c r="S93" s="11" t="n">
        <f aca="false">IF(Q93=0,"",R93/Q93)</f>
        <v>0.157015483768951</v>
      </c>
      <c r="T93" s="10" t="n">
        <f aca="false">TINV(0.05,COUNT(G93:P93)-1)*R93/SQRT(COUNT(G93:P93))</f>
        <v>694.4765060373</v>
      </c>
    </row>
    <row r="94" customFormat="false" ht="15" hidden="false" customHeight="false" outlineLevel="0" collapsed="false">
      <c r="A94" s="3" t="s">
        <v>84</v>
      </c>
      <c r="B94" s="3" t="s">
        <v>29</v>
      </c>
      <c r="C94" s="3" t="s">
        <v>39</v>
      </c>
      <c r="D94" s="3" t="s">
        <v>94</v>
      </c>
      <c r="E94" s="3" t="s">
        <v>25</v>
      </c>
      <c r="F94" s="3" t="s">
        <v>85</v>
      </c>
      <c r="G94" s="9" t="n">
        <v>17.861328125</v>
      </c>
      <c r="H94" s="9" t="n">
        <v>18.6494140625</v>
      </c>
      <c r="I94" s="9" t="n">
        <v>19.2314453125</v>
      </c>
      <c r="J94" s="9" t="n">
        <v>17.798828125</v>
      </c>
      <c r="K94" s="9" t="n">
        <v>18.7734375</v>
      </c>
      <c r="L94" s="9" t="n">
        <v>18.896484375</v>
      </c>
      <c r="M94" s="9" t="n">
        <v>18.1201171875</v>
      </c>
      <c r="N94" s="9" t="n">
        <v>18.669921875</v>
      </c>
      <c r="O94" s="9" t="n">
        <v>17.107421875</v>
      </c>
      <c r="P94" s="9" t="n">
        <v>16.7607421875</v>
      </c>
      <c r="Q94" s="10" t="n">
        <f aca="false">AVERAGE(G94:P94)</f>
        <v>18.1869140625</v>
      </c>
      <c r="R94" s="10" t="n">
        <f aca="false">STDEV(G94:P94)</f>
        <v>0.805956741345898</v>
      </c>
      <c r="S94" s="11" t="n">
        <f aca="false">IF(Q94=0,"",R94/Q94)</f>
        <v>0.0443152004004746</v>
      </c>
      <c r="T94" s="10" t="n">
        <f aca="false">TINV(0.05,COUNT(G94:P94)-1)*R94/SQRT(COUNT(G94:P94))</f>
        <v>0.576546720835401</v>
      </c>
    </row>
    <row r="95" customFormat="false" ht="15" hidden="false" customHeight="false" outlineLevel="0" collapsed="false">
      <c r="A95" s="3" t="s">
        <v>87</v>
      </c>
      <c r="B95" s="3" t="s">
        <v>29</v>
      </c>
      <c r="C95" s="3" t="s">
        <v>39</v>
      </c>
      <c r="D95" s="3" t="s">
        <v>94</v>
      </c>
      <c r="E95" s="3" t="s">
        <v>25</v>
      </c>
      <c r="F95" s="3" t="s">
        <v>85</v>
      </c>
      <c r="G95" s="9" t="n">
        <v>25.5556640625</v>
      </c>
      <c r="H95" s="9" t="n">
        <v>18.4794921875</v>
      </c>
      <c r="I95" s="9" t="n">
        <v>25.2998046875</v>
      </c>
      <c r="J95" s="9" t="n">
        <v>20.1064453125</v>
      </c>
      <c r="K95" s="9" t="n">
        <v>28.640625</v>
      </c>
      <c r="L95" s="9" t="n">
        <v>30.0576171875</v>
      </c>
      <c r="M95" s="9" t="n">
        <v>27.1484375</v>
      </c>
      <c r="N95" s="9" t="n">
        <v>22.4814453125</v>
      </c>
      <c r="O95" s="9" t="n">
        <v>21.4287109375</v>
      </c>
      <c r="P95" s="9" t="n">
        <v>22.310546875</v>
      </c>
      <c r="Q95" s="10" t="n">
        <f aca="false">AVERAGE(G95:P95)</f>
        <v>24.15087890625</v>
      </c>
      <c r="R95" s="10" t="n">
        <f aca="false">STDEV(G95:P95)</f>
        <v>3.79227703198187</v>
      </c>
      <c r="S95" s="11" t="n">
        <f aca="false">IF(Q95=0,"",R95/Q95)</f>
        <v>0.157024390155858</v>
      </c>
      <c r="T95" s="10" t="n">
        <f aca="false">TINV(0.05,COUNT(G95:P95)-1)*R95/SQRT(COUNT(G95:P95))</f>
        <v>2.71283156418217</v>
      </c>
    </row>
    <row r="96" customFormat="false" ht="15" hidden="false" customHeight="false" outlineLevel="0" collapsed="false">
      <c r="A96" s="3" t="s">
        <v>84</v>
      </c>
      <c r="B96" s="3" t="s">
        <v>29</v>
      </c>
      <c r="C96" s="3" t="s">
        <v>41</v>
      </c>
      <c r="D96" s="3" t="s">
        <v>31</v>
      </c>
      <c r="E96" s="3" t="s">
        <v>32</v>
      </c>
      <c r="F96" s="3" t="s">
        <v>85</v>
      </c>
      <c r="G96" s="9" t="n">
        <v>38975.334978</v>
      </c>
      <c r="H96" s="9" t="n">
        <v>38429.238051</v>
      </c>
      <c r="I96" s="9" t="n">
        <v>36591.160589</v>
      </c>
      <c r="J96" s="9" t="n">
        <v>39479.768015</v>
      </c>
      <c r="K96" s="9" t="n">
        <v>38155.589627</v>
      </c>
      <c r="L96" s="9" t="n">
        <v>36605.026332</v>
      </c>
      <c r="M96" s="9" t="n">
        <v>38636.557563</v>
      </c>
      <c r="N96" s="9" t="n">
        <v>38445.970269</v>
      </c>
      <c r="O96" s="9" t="n">
        <v>35269.782015</v>
      </c>
      <c r="P96" s="9" t="n">
        <v>36579.294714</v>
      </c>
      <c r="Q96" s="10" t="n">
        <f aca="false">AVERAGE(G96:P96)</f>
        <v>37716.7722153</v>
      </c>
      <c r="R96" s="10" t="n">
        <f aca="false">STDEV(G96:P96)</f>
        <v>1356.24621417816</v>
      </c>
      <c r="S96" s="11" t="n">
        <f aca="false">IF(Q96=0,"",R96/Q96)</f>
        <v>0.0359587031052459</v>
      </c>
      <c r="T96" s="10" t="n">
        <f aca="false">TINV(0.05,COUNT(G96:P96)-1)*R96/SQRT(COUNT(G96:P96))</f>
        <v>970.200095508916</v>
      </c>
    </row>
    <row r="97" customFormat="false" ht="15" hidden="false" customHeight="false" outlineLevel="0" collapsed="false">
      <c r="A97" s="3" t="s">
        <v>87</v>
      </c>
      <c r="B97" s="3" t="s">
        <v>29</v>
      </c>
      <c r="C97" s="3" t="s">
        <v>41</v>
      </c>
      <c r="D97" s="3" t="s">
        <v>31</v>
      </c>
      <c r="E97" s="3" t="s">
        <v>32</v>
      </c>
      <c r="F97" s="3" t="s">
        <v>85</v>
      </c>
      <c r="G97" s="9" t="n">
        <v>4292.313846</v>
      </c>
      <c r="H97" s="9" t="n">
        <v>3547.09686</v>
      </c>
      <c r="I97" s="9" t="n">
        <v>5093.927072</v>
      </c>
      <c r="J97" s="9" t="n">
        <v>4561.762549</v>
      </c>
      <c r="K97" s="9" t="n">
        <v>5127.524832</v>
      </c>
      <c r="L97" s="9" t="n">
        <v>4259.182721</v>
      </c>
      <c r="M97" s="9" t="n">
        <v>5057.662822</v>
      </c>
      <c r="N97" s="9" t="n">
        <v>4382.174522</v>
      </c>
      <c r="O97" s="9" t="n">
        <v>4160.189321</v>
      </c>
      <c r="P97" s="9" t="n">
        <v>5424.305046</v>
      </c>
      <c r="Q97" s="10" t="n">
        <f aca="false">AVERAGE(G97:P97)</f>
        <v>4590.6139591</v>
      </c>
      <c r="R97" s="10" t="n">
        <f aca="false">STDEV(G97:P97)</f>
        <v>574.656919371406</v>
      </c>
      <c r="S97" s="11" t="n">
        <f aca="false">IF(Q97=0,"",R97/Q97)</f>
        <v>0.125180841711218</v>
      </c>
      <c r="T97" s="10" t="n">
        <f aca="false">TINV(0.05,COUNT(G97:P97)-1)*R97/SQRT(COUNT(G97:P97))</f>
        <v>411.084795836162</v>
      </c>
    </row>
    <row r="98" customFormat="false" ht="15" hidden="false" customHeight="false" outlineLevel="0" collapsed="false">
      <c r="A98" s="3" t="s">
        <v>84</v>
      </c>
      <c r="B98" s="3" t="s">
        <v>29</v>
      </c>
      <c r="C98" s="3" t="s">
        <v>41</v>
      </c>
      <c r="D98" s="3" t="s">
        <v>43</v>
      </c>
      <c r="E98" s="3" t="s">
        <v>25</v>
      </c>
      <c r="F98" s="3" t="s">
        <v>85</v>
      </c>
      <c r="G98" s="9" t="n">
        <v>152.251953125</v>
      </c>
      <c r="H98" s="9" t="n">
        <v>150.119140625</v>
      </c>
      <c r="I98" s="9" t="n">
        <v>142.9375</v>
      </c>
      <c r="J98" s="9" t="n">
        <v>154.22265625</v>
      </c>
      <c r="K98" s="9" t="n">
        <v>149.0498046875</v>
      </c>
      <c r="L98" s="9" t="n">
        <v>142.9912109375</v>
      </c>
      <c r="M98" s="9" t="n">
        <v>150.9287109375</v>
      </c>
      <c r="N98" s="9" t="n">
        <v>150.18359375</v>
      </c>
      <c r="O98" s="9" t="n">
        <v>137.7763671875</v>
      </c>
      <c r="P98" s="9" t="n">
        <v>142.8916015625</v>
      </c>
      <c r="Q98" s="10" t="n">
        <f aca="false">AVERAGE(G98:P98)</f>
        <v>147.33525390625</v>
      </c>
      <c r="R98" s="10" t="n">
        <f aca="false">STDEV(G98:P98)</f>
        <v>5.29837748105645</v>
      </c>
      <c r="S98" s="11" t="n">
        <f aca="false">IF(Q98=0,"",R98/Q98)</f>
        <v>0.0359613693300303</v>
      </c>
      <c r="T98" s="10" t="n">
        <f aca="false">TINV(0.05,COUNT(G98:P98)-1)*R98/SQRT(COUNT(G98:P98))</f>
        <v>3.79023092151319</v>
      </c>
    </row>
    <row r="99" customFormat="false" ht="15" hidden="false" customHeight="false" outlineLevel="0" collapsed="false">
      <c r="A99" s="3" t="s">
        <v>87</v>
      </c>
      <c r="B99" s="3" t="s">
        <v>29</v>
      </c>
      <c r="C99" s="3" t="s">
        <v>41</v>
      </c>
      <c r="D99" s="3" t="s">
        <v>43</v>
      </c>
      <c r="E99" s="3" t="s">
        <v>25</v>
      </c>
      <c r="F99" s="3" t="s">
        <v>85</v>
      </c>
      <c r="G99" s="9" t="n">
        <v>16.771484375</v>
      </c>
      <c r="H99" s="9" t="n">
        <v>13.859375</v>
      </c>
      <c r="I99" s="9" t="n">
        <v>19.9033203125</v>
      </c>
      <c r="J99" s="9" t="n">
        <v>17.8232421875</v>
      </c>
      <c r="K99" s="9" t="n">
        <v>20.0322265625</v>
      </c>
      <c r="L99" s="9" t="n">
        <v>16.640625</v>
      </c>
      <c r="M99" s="9" t="n">
        <v>19.7607421875</v>
      </c>
      <c r="N99" s="9" t="n">
        <v>17.12109375</v>
      </c>
      <c r="O99" s="9" t="n">
        <v>16.255859375</v>
      </c>
      <c r="P99" s="9" t="n">
        <v>21.1923828125</v>
      </c>
      <c r="Q99" s="10" t="n">
        <f aca="false">AVERAGE(G99:P99)</f>
        <v>17.93603515625</v>
      </c>
      <c r="R99" s="10" t="n">
        <f aca="false">STDEV(G99:P99)</f>
        <v>2.2447680289904</v>
      </c>
      <c r="S99" s="11" t="n">
        <f aca="false">IF(Q99=0,"",R99/Q99)</f>
        <v>0.125154082796732</v>
      </c>
      <c r="T99" s="10" t="n">
        <f aca="false">TINV(0.05,COUNT(G99:P99)-1)*R99/SQRT(COUNT(G99:P99))</f>
        <v>1.60581031184044</v>
      </c>
    </row>
    <row r="100" customFormat="false" ht="15" hidden="false" customHeight="false" outlineLevel="0" collapsed="false">
      <c r="A100" s="3" t="s">
        <v>84</v>
      </c>
      <c r="B100" s="3" t="s">
        <v>29</v>
      </c>
      <c r="C100" s="3" t="s">
        <v>41</v>
      </c>
      <c r="D100" s="3" t="s">
        <v>33</v>
      </c>
      <c r="E100" s="3" t="s">
        <v>34</v>
      </c>
      <c r="F100" s="3" t="s">
        <v>89</v>
      </c>
      <c r="G100" s="9" t="n">
        <v>444.913323272</v>
      </c>
      <c r="H100" s="9" t="n">
        <v>451.266871895</v>
      </c>
      <c r="I100" s="9" t="n">
        <v>471.961484019</v>
      </c>
      <c r="J100" s="9" t="n">
        <v>439.609829967</v>
      </c>
      <c r="K100" s="9" t="n">
        <v>454.174185842</v>
      </c>
      <c r="L100" s="9" t="n">
        <v>471.993462579</v>
      </c>
      <c r="M100" s="9" t="n">
        <v>448.84546424</v>
      </c>
      <c r="N100" s="9" t="n">
        <v>450.286358407</v>
      </c>
      <c r="O100" s="9" t="n">
        <v>488.57726565</v>
      </c>
      <c r="P100" s="9" t="n">
        <v>473.450443436</v>
      </c>
      <c r="Q100" s="10" t="n">
        <f aca="false">AVERAGE(G100:P100)</f>
        <v>459.5078689307</v>
      </c>
      <c r="R100" s="10" t="n">
        <f aca="false">STDEV(G100:P100)</f>
        <v>15.8269314851573</v>
      </c>
      <c r="S100" s="11" t="n">
        <f aca="false">IF(Q100=0,"",R100/Q100)</f>
        <v>0.0344432218799374</v>
      </c>
      <c r="T100" s="10" t="n">
        <f aca="false">TINV(0.05,COUNT(G100:P100)-1)*R100/SQRT(COUNT(G100:P100))</f>
        <v>11.3219047382318</v>
      </c>
    </row>
    <row r="101" customFormat="false" ht="15" hidden="false" customHeight="false" outlineLevel="0" collapsed="false">
      <c r="A101" s="3" t="s">
        <v>87</v>
      </c>
      <c r="B101" s="3" t="s">
        <v>29</v>
      </c>
      <c r="C101" s="3" t="s">
        <v>41</v>
      </c>
      <c r="D101" s="3" t="s">
        <v>33</v>
      </c>
      <c r="E101" s="3" t="s">
        <v>34</v>
      </c>
      <c r="F101" s="3" t="s">
        <v>89</v>
      </c>
      <c r="G101" s="9" t="n">
        <v>3730.866607186</v>
      </c>
      <c r="H101" s="9" t="n">
        <v>4509.974886461</v>
      </c>
      <c r="I101" s="9" t="n">
        <v>3139.229809009</v>
      </c>
      <c r="J101" s="9" t="n">
        <v>3509.99939344</v>
      </c>
      <c r="K101" s="9" t="n">
        <v>3120.427063862</v>
      </c>
      <c r="L101" s="9" t="n">
        <v>3761.293022767</v>
      </c>
      <c r="M101" s="9" t="n">
        <v>3162.715510226</v>
      </c>
      <c r="N101" s="9" t="n">
        <v>3660.42199308</v>
      </c>
      <c r="O101" s="9" t="n">
        <v>3853.985762338</v>
      </c>
      <c r="P101" s="9" t="n">
        <v>2946.451233996</v>
      </c>
      <c r="Q101" s="10" t="n">
        <f aca="false">AVERAGE(G101:P101)</f>
        <v>3539.5365282365</v>
      </c>
      <c r="R101" s="10" t="n">
        <f aca="false">STDEV(G101:P101)</f>
        <v>468.038491568322</v>
      </c>
      <c r="S101" s="11" t="n">
        <f aca="false">IF(Q101=0,"",R101/Q101)</f>
        <v>0.132231575471694</v>
      </c>
      <c r="T101" s="10" t="n">
        <f aca="false">TINV(0.05,COUNT(G101:P101)-1)*R101/SQRT(COUNT(G101:P101))</f>
        <v>334.814567203492</v>
      </c>
    </row>
    <row r="102" customFormat="false" ht="15" hidden="false" customHeight="false" outlineLevel="0" collapsed="false">
      <c r="A102" s="3" t="s">
        <v>84</v>
      </c>
      <c r="B102" s="3" t="s">
        <v>29</v>
      </c>
      <c r="C102" s="3" t="s">
        <v>41</v>
      </c>
      <c r="D102" s="3" t="s">
        <v>35</v>
      </c>
      <c r="E102" s="3" t="s">
        <v>34</v>
      </c>
      <c r="F102" s="3" t="s">
        <v>89</v>
      </c>
      <c r="G102" s="9" t="n">
        <v>790.528</v>
      </c>
      <c r="H102" s="9" t="n">
        <v>782.336</v>
      </c>
      <c r="I102" s="9" t="n">
        <v>880.64</v>
      </c>
      <c r="J102" s="9" t="n">
        <v>724.992</v>
      </c>
      <c r="K102" s="9" t="n">
        <v>716.8</v>
      </c>
      <c r="L102" s="9" t="n">
        <v>856.064</v>
      </c>
      <c r="M102" s="9" t="n">
        <v>733.184</v>
      </c>
      <c r="N102" s="9" t="n">
        <v>757.76</v>
      </c>
      <c r="O102" s="9" t="n">
        <v>913.408</v>
      </c>
      <c r="P102" s="9" t="n">
        <v>798.72</v>
      </c>
      <c r="Q102" s="10" t="n">
        <f aca="false">AVERAGE(G102:P102)</f>
        <v>795.4432</v>
      </c>
      <c r="R102" s="10" t="n">
        <f aca="false">STDEV(G102:P102)</f>
        <v>67.9052620261821</v>
      </c>
      <c r="S102" s="11" t="n">
        <f aca="false">IF(Q102=0,"",R102/Q102)</f>
        <v>0.0853678327078314</v>
      </c>
      <c r="T102" s="10" t="n">
        <f aca="false">TINV(0.05,COUNT(G102:P102)-1)*R102/SQRT(COUNT(G102:P102))</f>
        <v>48.5764981421769</v>
      </c>
    </row>
    <row r="103" customFormat="false" ht="15" hidden="false" customHeight="false" outlineLevel="0" collapsed="false">
      <c r="A103" s="3" t="s">
        <v>87</v>
      </c>
      <c r="B103" s="3" t="s">
        <v>29</v>
      </c>
      <c r="C103" s="3" t="s">
        <v>41</v>
      </c>
      <c r="D103" s="3" t="s">
        <v>35</v>
      </c>
      <c r="E103" s="3" t="s">
        <v>34</v>
      </c>
      <c r="F103" s="3" t="s">
        <v>89</v>
      </c>
      <c r="G103" s="9" t="n">
        <v>4177.92</v>
      </c>
      <c r="H103" s="9" t="n">
        <v>5603.328</v>
      </c>
      <c r="I103" s="9" t="n">
        <v>4358.144</v>
      </c>
      <c r="J103" s="9" t="n">
        <v>5210.112</v>
      </c>
      <c r="K103" s="9" t="n">
        <v>3457.024</v>
      </c>
      <c r="L103" s="9" t="n">
        <v>4489.216</v>
      </c>
      <c r="M103" s="9" t="n">
        <v>4227.072</v>
      </c>
      <c r="N103" s="9" t="n">
        <v>4358.144</v>
      </c>
      <c r="O103" s="9" t="n">
        <v>4751.36</v>
      </c>
      <c r="P103" s="9" t="n">
        <v>3784.704</v>
      </c>
      <c r="Q103" s="10" t="n">
        <f aca="false">AVERAGE(G103:P103)</f>
        <v>4441.7024</v>
      </c>
      <c r="R103" s="10" t="n">
        <f aca="false">STDEV(G103:P103)</f>
        <v>629.710916388924</v>
      </c>
      <c r="S103" s="11" t="n">
        <f aca="false">IF(Q103=0,"",R103/Q103)</f>
        <v>0.141772424102282</v>
      </c>
      <c r="T103" s="10" t="n">
        <f aca="false">TINV(0.05,COUNT(G103:P103)-1)*R103/SQRT(COUNT(G103:P103))</f>
        <v>450.468052803932</v>
      </c>
    </row>
    <row r="104" customFormat="false" ht="15" hidden="false" customHeight="false" outlineLevel="0" collapsed="false">
      <c r="A104" s="3" t="s">
        <v>84</v>
      </c>
      <c r="B104" s="3" t="s">
        <v>29</v>
      </c>
      <c r="C104" s="3" t="s">
        <v>41</v>
      </c>
      <c r="D104" s="3" t="s">
        <v>37</v>
      </c>
      <c r="E104" s="3" t="s">
        <v>32</v>
      </c>
      <c r="F104" s="3" t="s">
        <v>85</v>
      </c>
      <c r="G104" s="9" t="n">
        <v>38936.070929</v>
      </c>
      <c r="H104" s="9" t="n">
        <v>38384.441037</v>
      </c>
      <c r="I104" s="9" t="n">
        <v>36562.895807</v>
      </c>
      <c r="J104" s="9" t="n">
        <v>39429.971335</v>
      </c>
      <c r="K104" s="9" t="n">
        <v>38113.925738</v>
      </c>
      <c r="L104" s="9" t="n">
        <v>36590.560629</v>
      </c>
      <c r="M104" s="9" t="n">
        <v>38585.694287</v>
      </c>
      <c r="N104" s="9" t="n">
        <v>38399.240051</v>
      </c>
      <c r="O104" s="9" t="n">
        <v>35261.382574</v>
      </c>
      <c r="P104" s="9" t="n">
        <v>36556.296247</v>
      </c>
      <c r="Q104" s="10" t="n">
        <f aca="false">AVERAGE(G104:P104)</f>
        <v>37682.0478634</v>
      </c>
      <c r="R104" s="10" t="n">
        <f aca="false">STDEV(G104:P104)</f>
        <v>1342.03035760875</v>
      </c>
      <c r="S104" s="11" t="n">
        <f aca="false">IF(Q104=0,"",R104/Q104)</f>
        <v>0.0356145813113369</v>
      </c>
      <c r="T104" s="10" t="n">
        <f aca="false">TINV(0.05,COUNT(G104:P104)-1)*R104/SQRT(COUNT(G104:P104))</f>
        <v>960.030684337698</v>
      </c>
    </row>
    <row r="105" customFormat="false" ht="15" hidden="false" customHeight="false" outlineLevel="0" collapsed="false">
      <c r="A105" s="3" t="s">
        <v>87</v>
      </c>
      <c r="B105" s="3" t="s">
        <v>29</v>
      </c>
      <c r="C105" s="3" t="s">
        <v>41</v>
      </c>
      <c r="D105" s="3" t="s">
        <v>37</v>
      </c>
      <c r="E105" s="3" t="s">
        <v>32</v>
      </c>
      <c r="F105" s="3" t="s">
        <v>85</v>
      </c>
      <c r="G105" s="9" t="n">
        <v>4269.382041</v>
      </c>
      <c r="H105" s="9" t="n">
        <v>3530.231318</v>
      </c>
      <c r="I105" s="9" t="n">
        <v>5077.861476</v>
      </c>
      <c r="J105" s="9" t="n">
        <v>4542.963802</v>
      </c>
      <c r="K105" s="9" t="n">
        <v>5108.659423</v>
      </c>
      <c r="L105" s="9" t="n">
        <v>4233.65109</v>
      </c>
      <c r="M105" s="9" t="n">
        <v>5041.863876</v>
      </c>
      <c r="N105" s="9" t="n">
        <v>4357.909473</v>
      </c>
      <c r="O105" s="9" t="n">
        <v>4130.791281</v>
      </c>
      <c r="P105" s="9" t="n">
        <v>5412.772482</v>
      </c>
      <c r="Q105" s="10" t="n">
        <f aca="false">AVERAGE(G105:P105)</f>
        <v>4570.6086262</v>
      </c>
      <c r="R105" s="10" t="n">
        <f aca="false">STDEV(G105:P105)</f>
        <v>577.75742963768</v>
      </c>
      <c r="S105" s="11" t="n">
        <f aca="false">IF(Q105=0,"",R105/Q105)</f>
        <v>0.126407110494172</v>
      </c>
      <c r="T105" s="10" t="n">
        <f aca="false">TINV(0.05,COUNT(G105:P105)-1)*R105/SQRT(COUNT(G105:P105))</f>
        <v>413.302767267175</v>
      </c>
    </row>
    <row r="106" customFormat="false" ht="15" hidden="false" customHeight="false" outlineLevel="0" collapsed="false">
      <c r="A106" s="3" t="s">
        <v>84</v>
      </c>
      <c r="B106" s="3" t="s">
        <v>29</v>
      </c>
      <c r="C106" s="3" t="s">
        <v>41</v>
      </c>
      <c r="D106" s="3" t="s">
        <v>45</v>
      </c>
      <c r="E106" s="3" t="s">
        <v>25</v>
      </c>
      <c r="F106" s="3" t="s">
        <v>85</v>
      </c>
      <c r="G106" s="9" t="n">
        <v>152.0966796875</v>
      </c>
      <c r="H106" s="9" t="n">
        <v>149.94140625</v>
      </c>
      <c r="I106" s="9" t="n">
        <v>142.828125</v>
      </c>
      <c r="J106" s="9" t="n">
        <v>154.025390625</v>
      </c>
      <c r="K106" s="9" t="n">
        <v>148.884765625</v>
      </c>
      <c r="L106" s="9" t="n">
        <v>142.9365234375</v>
      </c>
      <c r="M106" s="9" t="n">
        <v>150.728515625</v>
      </c>
      <c r="N106" s="9" t="n">
        <v>150.0009765625</v>
      </c>
      <c r="O106" s="9" t="n">
        <v>137.7431640625</v>
      </c>
      <c r="P106" s="9" t="n">
        <v>142.80078125</v>
      </c>
      <c r="Q106" s="10" t="n">
        <f aca="false">AVERAGE(G106:P106)</f>
        <v>147.1986328125</v>
      </c>
      <c r="R106" s="10" t="n">
        <f aca="false">STDEV(G106:P106)</f>
        <v>5.24180250047438</v>
      </c>
      <c r="S106" s="11" t="n">
        <f aca="false">IF(Q106=0,"",R106/Q106)</f>
        <v>0.0356104020826833</v>
      </c>
      <c r="T106" s="10" t="n">
        <f aca="false">TINV(0.05,COUNT(G106:P106)-1)*R106/SQRT(COUNT(G106:P106))</f>
        <v>3.74975961844865</v>
      </c>
    </row>
    <row r="107" customFormat="false" ht="15" hidden="false" customHeight="false" outlineLevel="0" collapsed="false">
      <c r="A107" s="3" t="s">
        <v>87</v>
      </c>
      <c r="B107" s="3" t="s">
        <v>29</v>
      </c>
      <c r="C107" s="3" t="s">
        <v>41</v>
      </c>
      <c r="D107" s="3" t="s">
        <v>45</v>
      </c>
      <c r="E107" s="3" t="s">
        <v>25</v>
      </c>
      <c r="F107" s="3" t="s">
        <v>85</v>
      </c>
      <c r="G107" s="9" t="n">
        <v>16.6796875</v>
      </c>
      <c r="H107" s="9" t="n">
        <v>13.7939453125</v>
      </c>
      <c r="I107" s="9" t="n">
        <v>19.837890625</v>
      </c>
      <c r="J107" s="9" t="n">
        <v>17.75</v>
      </c>
      <c r="K107" s="9" t="n">
        <v>19.9599609375</v>
      </c>
      <c r="L107" s="9" t="n">
        <v>16.541015625</v>
      </c>
      <c r="M107" s="9" t="n">
        <v>19.697265625</v>
      </c>
      <c r="N107" s="9" t="n">
        <v>17.0263671875</v>
      </c>
      <c r="O107" s="9" t="n">
        <v>16.1376953125</v>
      </c>
      <c r="P107" s="9" t="n">
        <v>21.1474609375</v>
      </c>
      <c r="Q107" s="10" t="n">
        <f aca="false">AVERAGE(G107:P107)</f>
        <v>17.85712890625</v>
      </c>
      <c r="R107" s="10" t="n">
        <f aca="false">STDEV(G107:P107)</f>
        <v>2.256934608112</v>
      </c>
      <c r="S107" s="11" t="n">
        <f aca="false">IF(Q107=0,"",R107/Q107)</f>
        <v>0.126388436795238</v>
      </c>
      <c r="T107" s="10" t="n">
        <f aca="false">TINV(0.05,COUNT(G107:P107)-1)*R107/SQRT(COUNT(G107:P107))</f>
        <v>1.61451375823711</v>
      </c>
    </row>
    <row r="108" customFormat="false" ht="15" hidden="false" customHeight="false" outlineLevel="0" collapsed="false">
      <c r="A108" s="3" t="s">
        <v>84</v>
      </c>
      <c r="B108" s="3" t="s">
        <v>29</v>
      </c>
      <c r="C108" s="3" t="s">
        <v>41</v>
      </c>
      <c r="D108" s="3" t="s">
        <v>38</v>
      </c>
      <c r="E108" s="3" t="s">
        <v>34</v>
      </c>
      <c r="F108" s="3" t="s">
        <v>89</v>
      </c>
      <c r="G108" s="9" t="n">
        <v>374.162643799</v>
      </c>
      <c r="H108" s="9" t="n">
        <v>379.678766028</v>
      </c>
      <c r="I108" s="9" t="n">
        <v>400.391546482</v>
      </c>
      <c r="J108" s="9" t="n">
        <v>369.143745559</v>
      </c>
      <c r="K108" s="9" t="n">
        <v>383.040104857</v>
      </c>
      <c r="L108" s="9" t="n">
        <v>399.780116913</v>
      </c>
      <c r="M108" s="9" t="n">
        <v>377.690908181</v>
      </c>
      <c r="N108" s="9" t="n">
        <v>379.820971853</v>
      </c>
      <c r="O108" s="9" t="n">
        <v>416.370988083</v>
      </c>
      <c r="P108" s="9" t="n">
        <v>399.352862077</v>
      </c>
      <c r="Q108" s="10" t="n">
        <f aca="false">AVERAGE(G108:P108)</f>
        <v>387.9432653832</v>
      </c>
      <c r="R108" s="10" t="n">
        <f aca="false">STDEV(G108:P108)</f>
        <v>15.0559621304526</v>
      </c>
      <c r="S108" s="11" t="n">
        <f aca="false">IF(Q108=0,"",R108/Q108)</f>
        <v>0.0388097009896039</v>
      </c>
      <c r="T108" s="10" t="n">
        <f aca="false">TINV(0.05,COUNT(G108:P108)-1)*R108/SQRT(COUNT(G108:P108))</f>
        <v>10.770386486052</v>
      </c>
    </row>
    <row r="109" customFormat="false" ht="15" hidden="false" customHeight="false" outlineLevel="0" collapsed="false">
      <c r="A109" s="3" t="s">
        <v>87</v>
      </c>
      <c r="B109" s="3" t="s">
        <v>29</v>
      </c>
      <c r="C109" s="3" t="s">
        <v>41</v>
      </c>
      <c r="D109" s="3" t="s">
        <v>38</v>
      </c>
      <c r="E109" s="3" t="s">
        <v>34</v>
      </c>
      <c r="F109" s="3" t="s">
        <v>89</v>
      </c>
      <c r="G109" s="9" t="n">
        <v>3736.436724078</v>
      </c>
      <c r="H109" s="9" t="n">
        <v>4518.607084381</v>
      </c>
      <c r="I109" s="9" t="n">
        <v>3146.115997952</v>
      </c>
      <c r="J109" s="9" t="n">
        <v>3511.79544509</v>
      </c>
      <c r="K109" s="9" t="n">
        <v>3126.081356163</v>
      </c>
      <c r="L109" s="9" t="n">
        <v>3765.944060952</v>
      </c>
      <c r="M109" s="9" t="n">
        <v>3168.093797954</v>
      </c>
      <c r="N109" s="9" t="n">
        <v>3652.716359393</v>
      </c>
      <c r="O109" s="9" t="n">
        <v>3855.08928718</v>
      </c>
      <c r="P109" s="9" t="n">
        <v>2953.344767805</v>
      </c>
      <c r="Q109" s="10" t="n">
        <f aca="false">AVERAGE(G109:P109)</f>
        <v>3543.4224880948</v>
      </c>
      <c r="R109" s="10" t="n">
        <f aca="false">STDEV(G109:P109)</f>
        <v>467.728122055539</v>
      </c>
      <c r="S109" s="11" t="n">
        <f aca="false">IF(Q109=0,"",R109/Q109)</f>
        <v>0.131998970946031</v>
      </c>
      <c r="T109" s="10" t="n">
        <f aca="false">TINV(0.05,COUNT(G109:P109)-1)*R109/SQRT(COUNT(G109:P109))</f>
        <v>334.59254222912</v>
      </c>
    </row>
    <row r="110" customFormat="false" ht="15" hidden="false" customHeight="false" outlineLevel="0" collapsed="false">
      <c r="A110" s="3" t="s">
        <v>84</v>
      </c>
      <c r="B110" s="3" t="s">
        <v>29</v>
      </c>
      <c r="C110" s="3" t="s">
        <v>41</v>
      </c>
      <c r="D110" s="3" t="s">
        <v>93</v>
      </c>
      <c r="E110" s="3" t="s">
        <v>34</v>
      </c>
      <c r="F110" s="3" t="s">
        <v>89</v>
      </c>
      <c r="G110" s="9" t="n">
        <v>684.032</v>
      </c>
      <c r="H110" s="9" t="n">
        <v>675.84</v>
      </c>
      <c r="I110" s="9" t="n">
        <v>757.76</v>
      </c>
      <c r="J110" s="9" t="n">
        <v>626.688</v>
      </c>
      <c r="K110" s="9" t="n">
        <v>602.112</v>
      </c>
      <c r="L110" s="9" t="n">
        <v>757.76</v>
      </c>
      <c r="M110" s="9" t="n">
        <v>626.688</v>
      </c>
      <c r="N110" s="9" t="n">
        <v>651.264</v>
      </c>
      <c r="O110" s="9" t="n">
        <v>798.72</v>
      </c>
      <c r="P110" s="9" t="n">
        <v>684.032</v>
      </c>
      <c r="Q110" s="10" t="n">
        <f aca="false">AVERAGE(G110:P110)</f>
        <v>686.4896</v>
      </c>
      <c r="R110" s="10" t="n">
        <f aca="false">STDEV(G110:P110)</f>
        <v>65.3137565009598</v>
      </c>
      <c r="S110" s="11" t="n">
        <f aca="false">IF(Q110=0,"",R110/Q110)</f>
        <v>0.0951416547329483</v>
      </c>
      <c r="T110" s="10" t="n">
        <f aca="false">TINV(0.05,COUNT(G110:P110)-1)*R110/SQRT(COUNT(G110:P110))</f>
        <v>46.722646767848</v>
      </c>
    </row>
    <row r="111" customFormat="false" ht="15" hidden="false" customHeight="false" outlineLevel="0" collapsed="false">
      <c r="A111" s="3" t="s">
        <v>87</v>
      </c>
      <c r="B111" s="3" t="s">
        <v>29</v>
      </c>
      <c r="C111" s="3" t="s">
        <v>41</v>
      </c>
      <c r="D111" s="3" t="s">
        <v>93</v>
      </c>
      <c r="E111" s="3" t="s">
        <v>34</v>
      </c>
      <c r="F111" s="3" t="s">
        <v>89</v>
      </c>
      <c r="G111" s="9" t="n">
        <v>4227.072</v>
      </c>
      <c r="H111" s="9" t="n">
        <v>5603.328</v>
      </c>
      <c r="I111" s="9" t="n">
        <v>4358.144</v>
      </c>
      <c r="J111" s="9" t="n">
        <v>5210.112</v>
      </c>
      <c r="K111" s="9" t="n">
        <v>3489.792</v>
      </c>
      <c r="L111" s="9" t="n">
        <v>4489.216</v>
      </c>
      <c r="M111" s="9" t="n">
        <v>4227.072</v>
      </c>
      <c r="N111" s="9" t="n">
        <v>4227.072</v>
      </c>
      <c r="O111" s="9" t="n">
        <v>4751.36</v>
      </c>
      <c r="P111" s="9" t="n">
        <v>3817.472</v>
      </c>
      <c r="Q111" s="10" t="n">
        <f aca="false">AVERAGE(G111:P111)</f>
        <v>4440.064</v>
      </c>
      <c r="R111" s="10" t="n">
        <f aca="false">STDEV(G111:P111)</f>
        <v>621.729086210385</v>
      </c>
      <c r="S111" s="11" t="n">
        <f aca="false">IF(Q111=0,"",R111/Q111)</f>
        <v>0.140027055062806</v>
      </c>
      <c r="T111" s="10" t="n">
        <f aca="false">TINV(0.05,COUNT(G111:P111)-1)*R111/SQRT(COUNT(G111:P111))</f>
        <v>444.75819546343</v>
      </c>
    </row>
    <row r="112" customFormat="false" ht="15" hidden="false" customHeight="false" outlineLevel="0" collapsed="false">
      <c r="A112" s="3" t="s">
        <v>84</v>
      </c>
      <c r="B112" s="3" t="s">
        <v>29</v>
      </c>
      <c r="C112" s="3" t="s">
        <v>41</v>
      </c>
      <c r="D112" s="3" t="s">
        <v>40</v>
      </c>
      <c r="E112" s="3" t="s">
        <v>32</v>
      </c>
      <c r="F112" s="3" t="s">
        <v>85</v>
      </c>
      <c r="G112" s="9" t="n">
        <v>77911.405907</v>
      </c>
      <c r="H112" s="9" t="n">
        <v>76813.679088</v>
      </c>
      <c r="I112" s="9" t="n">
        <v>73154.056396</v>
      </c>
      <c r="J112" s="9" t="n">
        <v>78909.73935</v>
      </c>
      <c r="K112" s="9" t="n">
        <v>76269.515365</v>
      </c>
      <c r="L112" s="9" t="n">
        <v>73195.586961</v>
      </c>
      <c r="M112" s="9" t="n">
        <v>77222.25185</v>
      </c>
      <c r="N112" s="9" t="n">
        <v>76845.21032</v>
      </c>
      <c r="O112" s="9" t="n">
        <v>70531.164589</v>
      </c>
      <c r="P112" s="9" t="n">
        <v>73135.590961</v>
      </c>
      <c r="Q112" s="10" t="n">
        <f aca="false">AVERAGE(G112:P112)</f>
        <v>75398.8200787</v>
      </c>
      <c r="R112" s="10" t="n">
        <f aca="false">STDEV(G112:P112)</f>
        <v>2698.27109861043</v>
      </c>
      <c r="S112" s="11" t="n">
        <f aca="false">IF(Q112=0,"",R112/Q112)</f>
        <v>0.0357866488599426</v>
      </c>
      <c r="T112" s="10" t="n">
        <f aca="false">TINV(0.05,COUNT(G112:P112)-1)*R112/SQRT(COUNT(G112:P112))</f>
        <v>1930.22686457202</v>
      </c>
    </row>
    <row r="113" customFormat="false" ht="15" hidden="false" customHeight="false" outlineLevel="0" collapsed="false">
      <c r="A113" s="3" t="s">
        <v>87</v>
      </c>
      <c r="B113" s="3" t="s">
        <v>29</v>
      </c>
      <c r="C113" s="3" t="s">
        <v>41</v>
      </c>
      <c r="D113" s="3" t="s">
        <v>40</v>
      </c>
      <c r="E113" s="3" t="s">
        <v>32</v>
      </c>
      <c r="F113" s="3" t="s">
        <v>85</v>
      </c>
      <c r="G113" s="9" t="n">
        <v>8561.695887</v>
      </c>
      <c r="H113" s="9" t="n">
        <v>7077.328178</v>
      </c>
      <c r="I113" s="9" t="n">
        <v>10171.788548</v>
      </c>
      <c r="J113" s="9" t="n">
        <v>9104.726351</v>
      </c>
      <c r="K113" s="9" t="n">
        <v>10236.184255</v>
      </c>
      <c r="L113" s="9" t="n">
        <v>8492.833811</v>
      </c>
      <c r="M113" s="9" t="n">
        <v>10099.526698</v>
      </c>
      <c r="N113" s="9" t="n">
        <v>8740.083995</v>
      </c>
      <c r="O113" s="9" t="n">
        <v>8290.980602</v>
      </c>
      <c r="P113" s="9" t="n">
        <v>10837.077528</v>
      </c>
      <c r="Q113" s="10" t="n">
        <f aca="false">AVERAGE(G113:P113)</f>
        <v>9161.2225853</v>
      </c>
      <c r="R113" s="10" t="n">
        <f aca="false">STDEV(G113:P113)</f>
        <v>1152.40583687454</v>
      </c>
      <c r="S113" s="11" t="n">
        <f aca="false">IF(Q113=0,"",R113/Q113)</f>
        <v>0.125791708054739</v>
      </c>
      <c r="T113" s="10" t="n">
        <f aca="false">TINV(0.05,COUNT(G113:P113)-1)*R113/SQRT(COUNT(G113:P113))</f>
        <v>824.381473889106</v>
      </c>
    </row>
    <row r="114" customFormat="false" ht="15" hidden="false" customHeight="false" outlineLevel="0" collapsed="false">
      <c r="A114" s="3" t="s">
        <v>84</v>
      </c>
      <c r="B114" s="3" t="s">
        <v>29</v>
      </c>
      <c r="C114" s="3" t="s">
        <v>41</v>
      </c>
      <c r="D114" s="3" t="s">
        <v>94</v>
      </c>
      <c r="E114" s="3" t="s">
        <v>25</v>
      </c>
      <c r="F114" s="3" t="s">
        <v>85</v>
      </c>
      <c r="G114" s="9" t="n">
        <v>304.3486328125</v>
      </c>
      <c r="H114" s="9" t="n">
        <v>300.060546875</v>
      </c>
      <c r="I114" s="9" t="n">
        <v>285.765625</v>
      </c>
      <c r="J114" s="9" t="n">
        <v>308.248046875</v>
      </c>
      <c r="K114" s="9" t="n">
        <v>297.9345703125</v>
      </c>
      <c r="L114" s="9" t="n">
        <v>285.927734375</v>
      </c>
      <c r="M114" s="9" t="n">
        <v>301.6572265625</v>
      </c>
      <c r="N114" s="9" t="n">
        <v>300.1845703125</v>
      </c>
      <c r="O114" s="9" t="n">
        <v>275.51953125</v>
      </c>
      <c r="P114" s="9" t="n">
        <v>285.6923828125</v>
      </c>
      <c r="Q114" s="10" t="n">
        <f aca="false">AVERAGE(G114:P114)</f>
        <v>294.53388671875</v>
      </c>
      <c r="R114" s="10" t="n">
        <f aca="false">STDEV(G114:P114)</f>
        <v>10.5401582510696</v>
      </c>
      <c r="S114" s="11" t="n">
        <f aca="false">IF(Q114=0,"",R114/Q114)</f>
        <v>0.0357858933262046</v>
      </c>
      <c r="T114" s="10" t="n">
        <f aca="false">TINV(0.05,COUNT(G114:P114)-1)*R114/SQRT(COUNT(G114:P114))</f>
        <v>7.53997499492633</v>
      </c>
    </row>
    <row r="115" customFormat="false" ht="15" hidden="false" customHeight="false" outlineLevel="0" collapsed="false">
      <c r="A115" s="3" t="s">
        <v>87</v>
      </c>
      <c r="B115" s="3" t="s">
        <v>29</v>
      </c>
      <c r="C115" s="3" t="s">
        <v>41</v>
      </c>
      <c r="D115" s="3" t="s">
        <v>94</v>
      </c>
      <c r="E115" s="3" t="s">
        <v>25</v>
      </c>
      <c r="F115" s="3" t="s">
        <v>85</v>
      </c>
      <c r="G115" s="9" t="n">
        <v>33.451171875</v>
      </c>
      <c r="H115" s="9" t="n">
        <v>27.6533203125</v>
      </c>
      <c r="I115" s="9" t="n">
        <v>39.7412109375</v>
      </c>
      <c r="J115" s="9" t="n">
        <v>35.5732421875</v>
      </c>
      <c r="K115" s="9" t="n">
        <v>39.9921875</v>
      </c>
      <c r="L115" s="9" t="n">
        <v>33.181640625</v>
      </c>
      <c r="M115" s="9" t="n">
        <v>39.4580078125</v>
      </c>
      <c r="N115" s="9" t="n">
        <v>34.1474609375</v>
      </c>
      <c r="O115" s="9" t="n">
        <v>32.3935546875</v>
      </c>
      <c r="P115" s="9" t="n">
        <v>42.33984375</v>
      </c>
      <c r="Q115" s="10" t="n">
        <f aca="false">AVERAGE(G115:P115)</f>
        <v>35.7931640625</v>
      </c>
      <c r="R115" s="10" t="n">
        <f aca="false">STDEV(G115:P115)</f>
        <v>4.50166701534213</v>
      </c>
      <c r="S115" s="11" t="n">
        <f aca="false">IF(Q115=0,"",R115/Q115)</f>
        <v>0.125768904014229</v>
      </c>
      <c r="T115" s="10" t="n">
        <f aca="false">TINV(0.05,COUNT(G115:P115)-1)*R115/SQRT(COUNT(G115:P115))</f>
        <v>3.22029858780534</v>
      </c>
    </row>
    <row r="116" customFormat="false" ht="15" hidden="false" customHeight="false" outlineLevel="0" collapsed="false">
      <c r="A116" s="3" t="s">
        <v>84</v>
      </c>
      <c r="B116" s="3" t="s">
        <v>29</v>
      </c>
      <c r="C116" s="3" t="s">
        <v>42</v>
      </c>
      <c r="D116" s="3" t="s">
        <v>31</v>
      </c>
      <c r="E116" s="3" t="s">
        <v>32</v>
      </c>
      <c r="F116" s="3" t="s">
        <v>85</v>
      </c>
      <c r="G116" s="9" t="n">
        <v>1317.324985</v>
      </c>
      <c r="H116" s="9" t="n">
        <v>1296.629363</v>
      </c>
      <c r="I116" s="9" t="n">
        <v>1276.512124</v>
      </c>
      <c r="J116" s="9" t="n">
        <v>1273.429694</v>
      </c>
      <c r="K116" s="9" t="n">
        <v>1253.313795</v>
      </c>
      <c r="L116" s="9" t="n">
        <v>1275.712763</v>
      </c>
      <c r="M116" s="9" t="n">
        <v>1302.2915</v>
      </c>
      <c r="N116" s="9" t="n">
        <v>1261.706521</v>
      </c>
      <c r="O116" s="9" t="n">
        <v>1308.952838</v>
      </c>
      <c r="P116" s="9" t="n">
        <v>1355.981881</v>
      </c>
      <c r="Q116" s="10" t="n">
        <f aca="false">AVERAGE(G116:P116)</f>
        <v>1292.1855464</v>
      </c>
      <c r="R116" s="10" t="n">
        <f aca="false">STDEV(G116:P116)</f>
        <v>30.5755137349726</v>
      </c>
      <c r="S116" s="11" t="n">
        <f aca="false">IF(Q116=0,"",R116/Q116)</f>
        <v>0.0236618601873046</v>
      </c>
      <c r="T116" s="10" t="n">
        <f aca="false">TINV(0.05,COUNT(G116:P116)-1)*R116/SQRT(COUNT(G116:P116))</f>
        <v>21.8724049039136</v>
      </c>
    </row>
    <row r="117" customFormat="false" ht="15" hidden="false" customHeight="false" outlineLevel="0" collapsed="false">
      <c r="A117" s="3" t="s">
        <v>87</v>
      </c>
      <c r="B117" s="3" t="s">
        <v>29</v>
      </c>
      <c r="C117" s="3" t="s">
        <v>42</v>
      </c>
      <c r="D117" s="3" t="s">
        <v>31</v>
      </c>
      <c r="E117" s="3" t="s">
        <v>32</v>
      </c>
      <c r="F117" s="3" t="s">
        <v>85</v>
      </c>
      <c r="G117" s="9" t="n">
        <v>998.133458</v>
      </c>
      <c r="H117" s="9" t="n">
        <v>966.068929</v>
      </c>
      <c r="I117" s="9" t="n">
        <v>995.866942</v>
      </c>
      <c r="J117" s="9" t="n">
        <v>919.544061</v>
      </c>
      <c r="K117" s="9" t="n">
        <v>964.935671</v>
      </c>
      <c r="L117" s="9" t="n">
        <v>929.942674</v>
      </c>
      <c r="M117" s="9" t="n">
        <v>965.804559</v>
      </c>
      <c r="N117" s="9" t="n">
        <v>1009.799347</v>
      </c>
      <c r="O117" s="9" t="n">
        <v>956.80288</v>
      </c>
      <c r="P117" s="9" t="n">
        <v>998.000133</v>
      </c>
      <c r="Q117" s="10" t="n">
        <f aca="false">AVERAGE(G117:P117)</f>
        <v>970.4898654</v>
      </c>
      <c r="R117" s="10" t="n">
        <f aca="false">STDEV(G117:P117)</f>
        <v>30.2019931858078</v>
      </c>
      <c r="S117" s="11" t="n">
        <f aca="false">IF(Q117=0,"",R117/Q117)</f>
        <v>0.0311203591738278</v>
      </c>
      <c r="T117" s="10" t="n">
        <f aca="false">TINV(0.05,COUNT(G117:P117)-1)*R117/SQRT(COUNT(G117:P117))</f>
        <v>21.6052043995465</v>
      </c>
    </row>
    <row r="118" customFormat="false" ht="15" hidden="false" customHeight="false" outlineLevel="0" collapsed="false">
      <c r="A118" s="3" t="s">
        <v>84</v>
      </c>
      <c r="B118" s="3" t="s">
        <v>29</v>
      </c>
      <c r="C118" s="3" t="s">
        <v>42</v>
      </c>
      <c r="D118" s="3" t="s">
        <v>43</v>
      </c>
      <c r="E118" s="3" t="s">
        <v>25</v>
      </c>
      <c r="F118" s="3" t="s">
        <v>85</v>
      </c>
      <c r="G118" s="9" t="n">
        <v>1318.3232421875</v>
      </c>
      <c r="H118" s="9" t="n">
        <v>1297.6943359375</v>
      </c>
      <c r="I118" s="9" t="n">
        <v>1277.5107421875</v>
      </c>
      <c r="J118" s="9" t="n">
        <v>1274.4287109375</v>
      </c>
      <c r="K118" s="9" t="n">
        <v>1254.3125</v>
      </c>
      <c r="L118" s="9" t="n">
        <v>1276.7119140625</v>
      </c>
      <c r="M118" s="9" t="n">
        <v>1303.2900390625</v>
      </c>
      <c r="N118" s="9" t="n">
        <v>1262.705078125</v>
      </c>
      <c r="O118" s="9" t="n">
        <v>1309.951171875</v>
      </c>
      <c r="P118" s="9" t="n">
        <v>1356.98046875</v>
      </c>
      <c r="Q118" s="10" t="n">
        <f aca="false">AVERAGE(G118:P118)</f>
        <v>1293.1908203125</v>
      </c>
      <c r="R118" s="10" t="n">
        <f aca="false">STDEV(G118:P118)</f>
        <v>30.5764676223986</v>
      </c>
      <c r="S118" s="11" t="n">
        <f aca="false">IF(Q118=0,"",R118/Q118)</f>
        <v>0.0236442040433057</v>
      </c>
      <c r="T118" s="10" t="n">
        <f aca="false">TINV(0.05,COUNT(G118:P118)-1)*R118/SQRT(COUNT(G118:P118))</f>
        <v>21.8730872738713</v>
      </c>
    </row>
    <row r="119" customFormat="false" ht="15" hidden="false" customHeight="false" outlineLevel="0" collapsed="false">
      <c r="A119" s="3" t="s">
        <v>87</v>
      </c>
      <c r="B119" s="3" t="s">
        <v>29</v>
      </c>
      <c r="C119" s="3" t="s">
        <v>42</v>
      </c>
      <c r="D119" s="3" t="s">
        <v>43</v>
      </c>
      <c r="E119" s="3" t="s">
        <v>25</v>
      </c>
      <c r="F119" s="3" t="s">
        <v>85</v>
      </c>
      <c r="G119" s="9" t="n">
        <v>999.19921875</v>
      </c>
      <c r="H119" s="9" t="n">
        <v>967.134765625</v>
      </c>
      <c r="I119" s="9" t="n">
        <v>996.9326171875</v>
      </c>
      <c r="J119" s="9" t="n">
        <v>920.6103515625</v>
      </c>
      <c r="K119" s="9" t="n">
        <v>966.001953125</v>
      </c>
      <c r="L119" s="9" t="n">
        <v>931.0087890625</v>
      </c>
      <c r="M119" s="9" t="n">
        <v>966.8701171875</v>
      </c>
      <c r="N119" s="9" t="n">
        <v>1010.865234375</v>
      </c>
      <c r="O119" s="9" t="n">
        <v>957.869140625</v>
      </c>
      <c r="P119" s="9" t="n">
        <v>999.06640625</v>
      </c>
      <c r="Q119" s="10" t="n">
        <f aca="false">AVERAGE(G119:P119)</f>
        <v>971.555859375</v>
      </c>
      <c r="R119" s="10" t="n">
        <f aca="false">STDEV(G119:P119)</f>
        <v>30.2018696599907</v>
      </c>
      <c r="S119" s="11" t="n">
        <f aca="false">IF(Q119=0,"",R119/Q119)</f>
        <v>0.0310860866810268</v>
      </c>
      <c r="T119" s="10" t="n">
        <f aca="false">TINV(0.05,COUNT(G119:P119)-1)*R119/SQRT(COUNT(G119:P119))</f>
        <v>21.6051160345002</v>
      </c>
    </row>
    <row r="120" customFormat="false" ht="15" hidden="false" customHeight="false" outlineLevel="0" collapsed="false">
      <c r="A120" s="3" t="s">
        <v>84</v>
      </c>
      <c r="B120" s="3" t="s">
        <v>29</v>
      </c>
      <c r="C120" s="3" t="s">
        <v>42</v>
      </c>
      <c r="D120" s="3" t="s">
        <v>33</v>
      </c>
      <c r="E120" s="3" t="s">
        <v>34</v>
      </c>
      <c r="F120" s="3" t="s">
        <v>89</v>
      </c>
      <c r="G120" s="9" t="n">
        <v>12137.464289764</v>
      </c>
      <c r="H120" s="9" t="n">
        <v>12331.142424179</v>
      </c>
      <c r="I120" s="9" t="n">
        <v>12526.459657159</v>
      </c>
      <c r="J120" s="9" t="n">
        <v>12555.732586421</v>
      </c>
      <c r="K120" s="9" t="n">
        <v>12756.612620254</v>
      </c>
      <c r="L120" s="9" t="n">
        <v>12533.864730304</v>
      </c>
      <c r="M120" s="9" t="n">
        <v>12278.35051587</v>
      </c>
      <c r="N120" s="9" t="n">
        <v>12672.22508034</v>
      </c>
      <c r="O120" s="9" t="n">
        <v>12215.582531909</v>
      </c>
      <c r="P120" s="9" t="n">
        <v>11791.99836066</v>
      </c>
      <c r="Q120" s="10" t="n">
        <f aca="false">AVERAGE(G120:P120)</f>
        <v>12379.943279686</v>
      </c>
      <c r="R120" s="10" t="n">
        <f aca="false">STDEV(G120:P120)</f>
        <v>288.205471117375</v>
      </c>
      <c r="S120" s="11" t="n">
        <f aca="false">IF(Q120=0,"",R120/Q120)</f>
        <v>0.0232800316290856</v>
      </c>
      <c r="T120" s="10" t="n">
        <f aca="false">TINV(0.05,COUNT(G120:P120)-1)*R120/SQRT(COUNT(G120:P120))</f>
        <v>206.169774102343</v>
      </c>
    </row>
    <row r="121" customFormat="false" ht="15" hidden="false" customHeight="false" outlineLevel="0" collapsed="false">
      <c r="A121" s="3" t="s">
        <v>87</v>
      </c>
      <c r="B121" s="3" t="s">
        <v>29</v>
      </c>
      <c r="C121" s="3" t="s">
        <v>42</v>
      </c>
      <c r="D121" s="3" t="s">
        <v>33</v>
      </c>
      <c r="E121" s="3" t="s">
        <v>34</v>
      </c>
      <c r="F121" s="3" t="s">
        <v>89</v>
      </c>
      <c r="G121" s="9" t="n">
        <v>16016.250455097</v>
      </c>
      <c r="H121" s="9" t="n">
        <v>16548.166031088</v>
      </c>
      <c r="I121" s="9" t="n">
        <v>16050.91140317</v>
      </c>
      <c r="J121" s="9" t="n">
        <v>17382.879884359</v>
      </c>
      <c r="K121" s="9" t="n">
        <v>16570.207299172</v>
      </c>
      <c r="L121" s="9" t="n">
        <v>17191.377914507</v>
      </c>
      <c r="M121" s="9" t="n">
        <v>16554.64358246</v>
      </c>
      <c r="N121" s="9" t="n">
        <v>15833.053091934</v>
      </c>
      <c r="O121" s="9" t="n">
        <v>16709.292265381</v>
      </c>
      <c r="P121" s="9" t="n">
        <v>16019.356276458</v>
      </c>
      <c r="Q121" s="10" t="n">
        <f aca="false">AVERAGE(G121:P121)</f>
        <v>16487.6138203626</v>
      </c>
      <c r="R121" s="10" t="n">
        <f aca="false">STDEV(G121:P121)</f>
        <v>518.707271164425</v>
      </c>
      <c r="S121" s="11" t="n">
        <f aca="false">IF(Q121=0,"",R121/Q121)</f>
        <v>0.0314604209448313</v>
      </c>
      <c r="T121" s="10" t="n">
        <f aca="false">TINV(0.05,COUNT(G121:P121)-1)*R121/SQRT(COUNT(G121:P121))</f>
        <v>371.06082860467</v>
      </c>
    </row>
    <row r="122" customFormat="false" ht="15" hidden="false" customHeight="false" outlineLevel="0" collapsed="false">
      <c r="A122" s="3" t="s">
        <v>84</v>
      </c>
      <c r="B122" s="3" t="s">
        <v>29</v>
      </c>
      <c r="C122" s="3" t="s">
        <v>42</v>
      </c>
      <c r="D122" s="3" t="s">
        <v>35</v>
      </c>
      <c r="E122" s="3" t="s">
        <v>34</v>
      </c>
      <c r="F122" s="3" t="s">
        <v>89</v>
      </c>
      <c r="G122" s="9" t="n">
        <v>12648.448</v>
      </c>
      <c r="H122" s="9" t="n">
        <v>12910.592</v>
      </c>
      <c r="I122" s="9" t="n">
        <v>13041.664</v>
      </c>
      <c r="J122" s="9" t="n">
        <v>13041.664</v>
      </c>
      <c r="K122" s="9" t="n">
        <v>13303.808</v>
      </c>
      <c r="L122" s="9" t="n">
        <v>13303.808</v>
      </c>
      <c r="M122" s="9" t="n">
        <v>13172.736</v>
      </c>
      <c r="N122" s="9" t="n">
        <v>13172.736</v>
      </c>
      <c r="O122" s="9" t="n">
        <v>13565.952</v>
      </c>
      <c r="P122" s="9" t="n">
        <v>13041.664</v>
      </c>
      <c r="Q122" s="10" t="n">
        <f aca="false">AVERAGE(G122:P122)</f>
        <v>13120.3072</v>
      </c>
      <c r="R122" s="10" t="n">
        <f aca="false">STDEV(G122:P122)</f>
        <v>248.691634484154</v>
      </c>
      <c r="S122" s="11" t="n">
        <f aca="false">IF(Q122=0,"",R122/Q122)</f>
        <v>0.0189547112497605</v>
      </c>
      <c r="T122" s="10" t="n">
        <f aca="false">TINV(0.05,COUNT(G122:P122)-1)*R122/SQRT(COUNT(G122:P122))</f>
        <v>177.903278185372</v>
      </c>
    </row>
    <row r="123" customFormat="false" ht="15" hidden="false" customHeight="false" outlineLevel="0" collapsed="false">
      <c r="A123" s="3" t="s">
        <v>87</v>
      </c>
      <c r="B123" s="3" t="s">
        <v>29</v>
      </c>
      <c r="C123" s="3" t="s">
        <v>42</v>
      </c>
      <c r="D123" s="3" t="s">
        <v>35</v>
      </c>
      <c r="E123" s="3" t="s">
        <v>34</v>
      </c>
      <c r="F123" s="3" t="s">
        <v>89</v>
      </c>
      <c r="G123" s="9" t="n">
        <v>38010.88</v>
      </c>
      <c r="H123" s="9" t="n">
        <v>19529.728</v>
      </c>
      <c r="I123" s="9" t="n">
        <v>19791.872</v>
      </c>
      <c r="J123" s="9" t="n">
        <v>20054.016</v>
      </c>
      <c r="K123" s="9" t="n">
        <v>20316.16</v>
      </c>
      <c r="L123" s="9" t="n">
        <v>20578.304</v>
      </c>
      <c r="M123" s="9" t="n">
        <v>16908.288</v>
      </c>
      <c r="N123" s="9" t="n">
        <v>18743.296</v>
      </c>
      <c r="O123" s="9" t="n">
        <v>18219.008</v>
      </c>
      <c r="P123" s="9" t="n">
        <v>17956.864</v>
      </c>
      <c r="Q123" s="10" t="n">
        <f aca="false">AVERAGE(G123:P123)</f>
        <v>21010.8416</v>
      </c>
      <c r="R123" s="10" t="n">
        <f aca="false">STDEV(G123:P123)</f>
        <v>6086.04870569891</v>
      </c>
      <c r="S123" s="11" t="n">
        <f aca="false">IF(Q123=0,"",R123/Q123)</f>
        <v>0.289662300138368</v>
      </c>
      <c r="T123" s="10" t="n">
        <f aca="false">TINV(0.05,COUNT(G123:P123)-1)*R123/SQRT(COUNT(G123:P123))</f>
        <v>4353.69697169554</v>
      </c>
    </row>
    <row r="124" customFormat="false" ht="15" hidden="false" customHeight="false" outlineLevel="0" collapsed="false">
      <c r="A124" s="3" t="s">
        <v>84</v>
      </c>
      <c r="B124" s="3" t="s">
        <v>29</v>
      </c>
      <c r="C124" s="3" t="s">
        <v>44</v>
      </c>
      <c r="D124" s="3" t="s">
        <v>37</v>
      </c>
      <c r="E124" s="3" t="s">
        <v>32</v>
      </c>
      <c r="F124" s="3" t="s">
        <v>85</v>
      </c>
      <c r="G124" s="9" t="n">
        <v>1751.931788</v>
      </c>
      <c r="H124" s="9" t="n">
        <v>1891.634474</v>
      </c>
      <c r="I124" s="9" t="n">
        <v>1504.09645</v>
      </c>
      <c r="J124" s="9" t="n">
        <v>1701.705302</v>
      </c>
      <c r="K124" s="9" t="n">
        <v>1601.718625</v>
      </c>
      <c r="L124" s="9" t="n">
        <v>2026.715523</v>
      </c>
      <c r="M124" s="9" t="n">
        <v>1699.460468</v>
      </c>
      <c r="N124" s="9" t="n">
        <v>1681.297456</v>
      </c>
      <c r="O124" s="9" t="n">
        <v>1445.812808</v>
      </c>
      <c r="P124" s="9" t="n">
        <v>1198.50786</v>
      </c>
      <c r="Q124" s="10" t="n">
        <f aca="false">AVERAGE(G124:P124)</f>
        <v>1650.2880754</v>
      </c>
      <c r="R124" s="10" t="n">
        <f aca="false">STDEV(G124:P124)</f>
        <v>232.366298393008</v>
      </c>
      <c r="S124" s="11" t="n">
        <f aca="false">IF(Q124=0,"",R124/Q124)</f>
        <v>0.140803476591011</v>
      </c>
      <c r="T124" s="10" t="n">
        <f aca="false">TINV(0.05,COUNT(G124:P124)-1)*R124/SQRT(COUNT(G124:P124))</f>
        <v>166.224836270279</v>
      </c>
    </row>
    <row r="125" customFormat="false" ht="15" hidden="false" customHeight="false" outlineLevel="0" collapsed="false">
      <c r="A125" s="3" t="s">
        <v>87</v>
      </c>
      <c r="B125" s="3" t="s">
        <v>29</v>
      </c>
      <c r="C125" s="3" t="s">
        <v>44</v>
      </c>
      <c r="D125" s="3" t="s">
        <v>37</v>
      </c>
      <c r="E125" s="3" t="s">
        <v>32</v>
      </c>
      <c r="F125" s="3" t="s">
        <v>85</v>
      </c>
      <c r="G125" s="9" t="n">
        <v>914.539031</v>
      </c>
      <c r="H125" s="9" t="n">
        <v>265.248983</v>
      </c>
      <c r="I125" s="9" t="n">
        <v>821.011933</v>
      </c>
      <c r="J125" s="9" t="n">
        <v>814.079061</v>
      </c>
      <c r="K125" s="9" t="n">
        <v>904.562105</v>
      </c>
      <c r="L125" s="9" t="n">
        <v>881.074595</v>
      </c>
      <c r="M125" s="9" t="n">
        <v>881.980963</v>
      </c>
      <c r="N125" s="9" t="n">
        <v>750.883274</v>
      </c>
      <c r="O125" s="9" t="n">
        <v>795.080328</v>
      </c>
      <c r="P125" s="9" t="n">
        <v>938.078434</v>
      </c>
      <c r="Q125" s="10" t="n">
        <f aca="false">AVERAGE(G125:P125)</f>
        <v>796.6538707</v>
      </c>
      <c r="R125" s="10" t="n">
        <f aca="false">STDEV(G125:P125)</f>
        <v>195.884066396246</v>
      </c>
      <c r="S125" s="11" t="n">
        <f aca="false">IF(Q125=0,"",R125/Q125)</f>
        <v>0.24588353060298</v>
      </c>
      <c r="T125" s="10" t="n">
        <f aca="false">TINV(0.05,COUNT(G125:P125)-1)*R125/SQRT(COUNT(G125:P125))</f>
        <v>140.127019666171</v>
      </c>
    </row>
    <row r="126" customFormat="false" ht="15" hidden="false" customHeight="false" outlineLevel="0" collapsed="false">
      <c r="A126" s="3" t="s">
        <v>84</v>
      </c>
      <c r="B126" s="3" t="s">
        <v>29</v>
      </c>
      <c r="C126" s="3" t="s">
        <v>44</v>
      </c>
      <c r="D126" s="3" t="s">
        <v>45</v>
      </c>
      <c r="E126" s="3" t="s">
        <v>25</v>
      </c>
      <c r="F126" s="3" t="s">
        <v>85</v>
      </c>
      <c r="G126" s="9" t="n">
        <v>1752.9306640625</v>
      </c>
      <c r="H126" s="9" t="n">
        <v>1892.6328125</v>
      </c>
      <c r="I126" s="9" t="n">
        <v>1505.0947265625</v>
      </c>
      <c r="J126" s="9" t="n">
        <v>1702.7041015625</v>
      </c>
      <c r="K126" s="9" t="n">
        <v>1602.7177734375</v>
      </c>
      <c r="L126" s="9" t="n">
        <v>2027.71484375</v>
      </c>
      <c r="M126" s="9" t="n">
        <v>1700.458984375</v>
      </c>
      <c r="N126" s="9" t="n">
        <v>1682.2958984375</v>
      </c>
      <c r="O126" s="9" t="n">
        <v>1446.810546875</v>
      </c>
      <c r="P126" s="9" t="n">
        <v>1199.5732421875</v>
      </c>
      <c r="Q126" s="10" t="n">
        <f aca="false">AVERAGE(G126:P126)</f>
        <v>1651.293359375</v>
      </c>
      <c r="R126" s="10" t="n">
        <f aca="false">STDEV(G126:P126)</f>
        <v>232.352079689743</v>
      </c>
      <c r="S126" s="11" t="n">
        <f aca="false">IF(Q126=0,"",R126/Q126)</f>
        <v>0.140709146785212</v>
      </c>
      <c r="T126" s="10" t="n">
        <f aca="false">TINV(0.05,COUNT(G126:P126)-1)*R126/SQRT(COUNT(G126:P126))</f>
        <v>166.214664822704</v>
      </c>
    </row>
    <row r="127" customFormat="false" ht="15" hidden="false" customHeight="false" outlineLevel="0" collapsed="false">
      <c r="A127" s="3" t="s">
        <v>87</v>
      </c>
      <c r="B127" s="3" t="s">
        <v>29</v>
      </c>
      <c r="C127" s="3" t="s">
        <v>44</v>
      </c>
      <c r="D127" s="3" t="s">
        <v>45</v>
      </c>
      <c r="E127" s="3" t="s">
        <v>25</v>
      </c>
      <c r="F127" s="3" t="s">
        <v>85</v>
      </c>
      <c r="G127" s="9" t="n">
        <v>915.60546875</v>
      </c>
      <c r="H127" s="9" t="n">
        <v>266.248046875</v>
      </c>
      <c r="I127" s="9" t="n">
        <v>822.078125</v>
      </c>
      <c r="J127" s="9" t="n">
        <v>815.1455078125</v>
      </c>
      <c r="K127" s="9" t="n">
        <v>905.626953125</v>
      </c>
      <c r="L127" s="9" t="n">
        <v>882.140625</v>
      </c>
      <c r="M127" s="9" t="n">
        <v>883.0458984375</v>
      </c>
      <c r="N127" s="9" t="n">
        <v>751.94921875</v>
      </c>
      <c r="O127" s="9" t="n">
        <v>796.146484375</v>
      </c>
      <c r="P127" s="9" t="n">
        <v>939.1435546875</v>
      </c>
      <c r="Q127" s="10" t="n">
        <f aca="false">AVERAGE(G127:P127)</f>
        <v>797.71298828125</v>
      </c>
      <c r="R127" s="10" t="n">
        <f aca="false">STDEV(G127:P127)</f>
        <v>195.904089451868</v>
      </c>
      <c r="S127" s="11" t="n">
        <f aca="false">IF(Q127=0,"",R127/Q127)</f>
        <v>0.245582173450582</v>
      </c>
      <c r="T127" s="10" t="n">
        <f aca="false">TINV(0.05,COUNT(G127:P127)-1)*R127/SQRT(COUNT(G127:P127))</f>
        <v>140.141343297289</v>
      </c>
    </row>
    <row r="128" customFormat="false" ht="15" hidden="false" customHeight="false" outlineLevel="0" collapsed="false">
      <c r="A128" s="3" t="s">
        <v>84</v>
      </c>
      <c r="B128" s="3" t="s">
        <v>29</v>
      </c>
      <c r="C128" s="3" t="s">
        <v>44</v>
      </c>
      <c r="D128" s="3" t="s">
        <v>38</v>
      </c>
      <c r="E128" s="3" t="s">
        <v>34</v>
      </c>
      <c r="F128" s="3" t="s">
        <v>89</v>
      </c>
      <c r="G128" s="9" t="n">
        <v>9126.148625613</v>
      </c>
      <c r="H128" s="9" t="n">
        <v>8452.88509748</v>
      </c>
      <c r="I128" s="9" t="n">
        <v>10629.060593202</v>
      </c>
      <c r="J128" s="9" t="n">
        <v>9395.941962912</v>
      </c>
      <c r="K128" s="9" t="n">
        <v>9981.826599002</v>
      </c>
      <c r="L128" s="9" t="n">
        <v>7889.344511992</v>
      </c>
      <c r="M128" s="9" t="n">
        <v>9407.978440401</v>
      </c>
      <c r="N128" s="9" t="n">
        <v>9509.316830351</v>
      </c>
      <c r="O128" s="9" t="n">
        <v>11056.846484172</v>
      </c>
      <c r="P128" s="9" t="n">
        <v>13339.289604487</v>
      </c>
      <c r="Q128" s="10" t="n">
        <f aca="false">AVERAGE(G128:P128)</f>
        <v>9878.8638749612</v>
      </c>
      <c r="R128" s="10" t="n">
        <f aca="false">STDEV(G128:P128)</f>
        <v>1530.62370713613</v>
      </c>
      <c r="S128" s="11" t="n">
        <f aca="false">IF(Q128=0,"",R128/Q128)</f>
        <v>0.154939244685375</v>
      </c>
      <c r="T128" s="10" t="n">
        <f aca="false">TINV(0.05,COUNT(G128:P128)-1)*R128/SQRT(COUNT(G128:P128))</f>
        <v>1094.94223934225</v>
      </c>
    </row>
    <row r="129" customFormat="false" ht="15" hidden="false" customHeight="false" outlineLevel="0" collapsed="false">
      <c r="A129" s="3" t="s">
        <v>87</v>
      </c>
      <c r="B129" s="3" t="s">
        <v>29</v>
      </c>
      <c r="C129" s="3" t="s">
        <v>44</v>
      </c>
      <c r="D129" s="3" t="s">
        <v>38</v>
      </c>
      <c r="E129" s="3" t="s">
        <v>34</v>
      </c>
      <c r="F129" s="3" t="s">
        <v>89</v>
      </c>
      <c r="G129" s="9" t="n">
        <v>17481.745208097</v>
      </c>
      <c r="H129" s="9" t="n">
        <v>60192.74362018</v>
      </c>
      <c r="I129" s="9" t="n">
        <v>19466.952650799</v>
      </c>
      <c r="J129" s="9" t="n">
        <v>19633.807035904</v>
      </c>
      <c r="K129" s="9" t="n">
        <v>17672.004496139</v>
      </c>
      <c r="L129" s="9" t="n">
        <v>18145.44821705</v>
      </c>
      <c r="M129" s="9" t="n">
        <v>18125.253048096</v>
      </c>
      <c r="N129" s="9" t="n">
        <v>21285.084782161</v>
      </c>
      <c r="O129" s="9" t="n">
        <v>20102.464268799</v>
      </c>
      <c r="P129" s="9" t="n">
        <v>17037.705248086</v>
      </c>
      <c r="Q129" s="10" t="n">
        <f aca="false">AVERAGE(G129:P129)</f>
        <v>22914.3208575311</v>
      </c>
      <c r="R129" s="10" t="n">
        <f aca="false">STDEV(G129:P129)</f>
        <v>13166.0107710378</v>
      </c>
      <c r="S129" s="11" t="n">
        <f aca="false">IF(Q129=0,"",R129/Q129)</f>
        <v>0.574575648691356</v>
      </c>
      <c r="T129" s="10" t="n">
        <f aca="false">TINV(0.05,COUNT(G129:P129)-1)*R129/SQRT(COUNT(G129:P129))</f>
        <v>9418.39672914605</v>
      </c>
    </row>
    <row r="130" customFormat="false" ht="15" hidden="false" customHeight="false" outlineLevel="0" collapsed="false">
      <c r="A130" s="3" t="s">
        <v>84</v>
      </c>
      <c r="B130" s="3" t="s">
        <v>29</v>
      </c>
      <c r="C130" s="3" t="s">
        <v>44</v>
      </c>
      <c r="D130" s="3" t="s">
        <v>93</v>
      </c>
      <c r="E130" s="3" t="s">
        <v>34</v>
      </c>
      <c r="F130" s="3" t="s">
        <v>89</v>
      </c>
      <c r="G130" s="9" t="n">
        <v>15532.032</v>
      </c>
      <c r="H130" s="9" t="n">
        <v>14876.672</v>
      </c>
      <c r="I130" s="9" t="n">
        <v>28704.768</v>
      </c>
      <c r="J130" s="9" t="n">
        <v>15532.032</v>
      </c>
      <c r="K130" s="9" t="n">
        <v>24510.464</v>
      </c>
      <c r="L130" s="9" t="n">
        <v>13172.736</v>
      </c>
      <c r="M130" s="9" t="n">
        <v>23724.032</v>
      </c>
      <c r="N130" s="9" t="n">
        <v>25034.752</v>
      </c>
      <c r="O130" s="9" t="n">
        <v>30277.632</v>
      </c>
      <c r="P130" s="9" t="n">
        <v>33161.216</v>
      </c>
      <c r="Q130" s="10" t="n">
        <f aca="false">AVERAGE(G130:P130)</f>
        <v>22452.6336</v>
      </c>
      <c r="R130" s="10" t="n">
        <f aca="false">STDEV(G130:P130)</f>
        <v>7201.9528482409</v>
      </c>
      <c r="S130" s="11" t="n">
        <f aca="false">IF(Q130=0,"",R130/Q130)</f>
        <v>0.32076205297542</v>
      </c>
      <c r="T130" s="10" t="n">
        <f aca="false">TINV(0.05,COUNT(G130:P130)-1)*R130/SQRT(COUNT(G130:P130))</f>
        <v>5151.96670646422</v>
      </c>
    </row>
    <row r="131" customFormat="false" ht="15" hidden="false" customHeight="false" outlineLevel="0" collapsed="false">
      <c r="A131" s="3" t="s">
        <v>87</v>
      </c>
      <c r="B131" s="3" t="s">
        <v>29</v>
      </c>
      <c r="C131" s="3" t="s">
        <v>44</v>
      </c>
      <c r="D131" s="3" t="s">
        <v>93</v>
      </c>
      <c r="E131" s="3" t="s">
        <v>34</v>
      </c>
      <c r="F131" s="3" t="s">
        <v>89</v>
      </c>
      <c r="G131" s="9" t="n">
        <v>20316.16</v>
      </c>
      <c r="H131" s="9" t="n">
        <v>124256.256</v>
      </c>
      <c r="I131" s="9" t="n">
        <v>41156.608</v>
      </c>
      <c r="J131" s="9" t="n">
        <v>22675.456</v>
      </c>
      <c r="K131" s="9" t="n">
        <v>23461.888</v>
      </c>
      <c r="L131" s="9" t="n">
        <v>19529.728</v>
      </c>
      <c r="M131" s="9" t="n">
        <v>18481.152</v>
      </c>
      <c r="N131" s="9" t="n">
        <v>38010.88</v>
      </c>
      <c r="O131" s="9" t="n">
        <v>58982.4</v>
      </c>
      <c r="P131" s="9" t="n">
        <v>32636.928</v>
      </c>
      <c r="Q131" s="10" t="n">
        <f aca="false">AVERAGE(G131:P131)</f>
        <v>39950.7456</v>
      </c>
      <c r="R131" s="10" t="n">
        <f aca="false">STDEV(G131:P131)</f>
        <v>32252.6975273813</v>
      </c>
      <c r="S131" s="11" t="n">
        <f aca="false">IF(Q131=0,"",R131/Q131)</f>
        <v>0.807311529309264</v>
      </c>
      <c r="T131" s="10" t="n">
        <f aca="false">TINV(0.05,COUNT(G131:P131)-1)*R131/SQRT(COUNT(G131:P131))</f>
        <v>23072.1899123952</v>
      </c>
    </row>
    <row r="132" customFormat="false" ht="15" hidden="false" customHeight="false" outlineLevel="0" collapsed="false">
      <c r="A132" s="3" t="s">
        <v>84</v>
      </c>
      <c r="B132" s="3" t="s">
        <v>46</v>
      </c>
      <c r="C132" s="3" t="s">
        <v>47</v>
      </c>
      <c r="D132" s="3" t="s">
        <v>24</v>
      </c>
      <c r="E132" s="3" t="s">
        <v>48</v>
      </c>
      <c r="F132" s="3" t="s">
        <v>85</v>
      </c>
      <c r="G132" s="9" t="n">
        <v>3072.44758806439</v>
      </c>
      <c r="H132" s="9" t="n">
        <v>3404.50496995236</v>
      </c>
      <c r="I132" s="9" t="n">
        <v>3766.96801021235</v>
      </c>
      <c r="J132" s="9" t="n">
        <v>3397.14515119744</v>
      </c>
      <c r="K132" s="9" t="n">
        <v>3676.01493348178</v>
      </c>
      <c r="L132" s="9" t="n">
        <v>3804.59529085886</v>
      </c>
      <c r="M132" s="9" t="n">
        <v>3800.49615446716</v>
      </c>
      <c r="N132" s="9" t="n">
        <v>3703.00572855312</v>
      </c>
      <c r="O132" s="9" t="n">
        <v>3429.91361007416</v>
      </c>
      <c r="P132" s="9" t="n">
        <v>3406.17761272463</v>
      </c>
      <c r="Q132" s="10" t="n">
        <f aca="false">AVERAGE(G132:P132)</f>
        <v>3546.12690495863</v>
      </c>
      <c r="R132" s="10" t="n">
        <f aca="false">STDEV(G132:P132)</f>
        <v>240.711456037187</v>
      </c>
      <c r="S132" s="11" t="n">
        <f aca="false">IF(Q132=0,"",R132/Q132)</f>
        <v>0.0678801020066697</v>
      </c>
      <c r="T132" s="10" t="n">
        <f aca="false">TINV(0.05,COUNT(G132:P132)-1)*R132/SQRT(COUNT(G132:P132))</f>
        <v>172.194602422456</v>
      </c>
    </row>
    <row r="133" customFormat="false" ht="15" hidden="false" customHeight="false" outlineLevel="0" collapsed="false">
      <c r="A133" s="3" t="s">
        <v>87</v>
      </c>
      <c r="B133" s="3" t="s">
        <v>46</v>
      </c>
      <c r="C133" s="3" t="s">
        <v>47</v>
      </c>
      <c r="D133" s="3" t="s">
        <v>24</v>
      </c>
      <c r="E133" s="3" t="s">
        <v>48</v>
      </c>
      <c r="F133" s="3" t="s">
        <v>85</v>
      </c>
      <c r="G133" s="9" t="n">
        <v>2041.53638899784</v>
      </c>
      <c r="H133" s="9" t="n">
        <v>2476.47258080512</v>
      </c>
      <c r="I133" s="9" t="n">
        <v>2488.06402839808</v>
      </c>
      <c r="J133" s="9" t="n">
        <v>2438.87800145055</v>
      </c>
      <c r="K133" s="9" t="n">
        <v>2477.60581577647</v>
      </c>
      <c r="L133" s="9" t="n">
        <v>2122.06460485219</v>
      </c>
      <c r="M133" s="9" t="n">
        <v>2526.41248702698</v>
      </c>
      <c r="N133" s="9" t="n">
        <v>2356.51404501852</v>
      </c>
      <c r="O133" s="9" t="n">
        <v>2526.88329980583</v>
      </c>
      <c r="P133" s="9" t="n">
        <v>2290.39040228367</v>
      </c>
      <c r="Q133" s="10" t="n">
        <f aca="false">AVERAGE(G133:P133)</f>
        <v>2374.48216544153</v>
      </c>
      <c r="R133" s="10" t="n">
        <f aca="false">STDEV(G133:P133)</f>
        <v>172.031946862948</v>
      </c>
      <c r="S133" s="11" t="n">
        <f aca="false">IF(Q133=0,"",R133/Q133)</f>
        <v>0.0724503006873328</v>
      </c>
      <c r="T133" s="10" t="n">
        <f aca="false">TINV(0.05,COUNT(G133:P133)-1)*R133/SQRT(COUNT(G133:P133))</f>
        <v>123.064241235988</v>
      </c>
    </row>
    <row r="134" customFormat="false" ht="15" hidden="false" customHeight="false" outlineLevel="0" collapsed="false">
      <c r="A134" s="3" t="s">
        <v>84</v>
      </c>
      <c r="B134" s="3" t="s">
        <v>46</v>
      </c>
      <c r="C134" s="3" t="s">
        <v>47</v>
      </c>
      <c r="D134" s="3" t="s">
        <v>95</v>
      </c>
      <c r="E134" s="3" t="s">
        <v>96</v>
      </c>
      <c r="F134" s="3" t="s">
        <v>89</v>
      </c>
      <c r="G134" s="9" t="n">
        <v>86</v>
      </c>
      <c r="H134" s="9" t="n">
        <v>0</v>
      </c>
      <c r="I134" s="9" t="n">
        <v>0</v>
      </c>
      <c r="J134" s="9" t="n">
        <v>129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559</v>
      </c>
      <c r="P134" s="9" t="n">
        <v>1032</v>
      </c>
      <c r="Q134" s="10" t="n">
        <f aca="false">AVERAGE(G134:P134)</f>
        <v>180.6</v>
      </c>
      <c r="R134" s="10" t="n">
        <f aca="false">STDEV(G134:P134)</f>
        <v>345.668177431607</v>
      </c>
      <c r="S134" s="11" t="n">
        <f aca="false">IF(Q134=0,"",R134/Q134)</f>
        <v>1.91399876761687</v>
      </c>
      <c r="T134" s="10" t="n">
        <f aca="false">TINV(0.05,COUNT(G134:P134)-1)*R134/SQRT(COUNT(G134:P134))</f>
        <v>247.276117899993</v>
      </c>
    </row>
    <row r="135" customFormat="false" ht="15" hidden="false" customHeight="false" outlineLevel="0" collapsed="false">
      <c r="A135" s="3" t="s">
        <v>87</v>
      </c>
      <c r="B135" s="3" t="s">
        <v>46</v>
      </c>
      <c r="C135" s="3" t="s">
        <v>47</v>
      </c>
      <c r="D135" s="3" t="s">
        <v>95</v>
      </c>
      <c r="E135" s="3" t="s">
        <v>96</v>
      </c>
      <c r="F135" s="3" t="s">
        <v>89</v>
      </c>
      <c r="G135" s="9" t="n">
        <v>2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6</v>
      </c>
      <c r="O135" s="9" t="n">
        <v>0</v>
      </c>
      <c r="P135" s="9" t="n">
        <v>0</v>
      </c>
      <c r="Q135" s="10" t="n">
        <f aca="false">AVERAGE(G135:P135)</f>
        <v>0.8</v>
      </c>
      <c r="R135" s="10" t="n">
        <f aca="false">STDEV(G135:P135)</f>
        <v>1.93218356615859</v>
      </c>
      <c r="S135" s="11" t="n">
        <f aca="false">IF(Q135=0,"",R135/Q135)</f>
        <v>2.41522945769824</v>
      </c>
      <c r="T135" s="10" t="n">
        <f aca="false">TINV(0.05,COUNT(G135:P135)-1)*R135/SQRT(COUNT(G135:P135))</f>
        <v>1.38220085765458</v>
      </c>
    </row>
    <row r="136" customFormat="false" ht="15" hidden="false" customHeight="false" outlineLevel="0" collapsed="false">
      <c r="A136" s="3" t="s">
        <v>84</v>
      </c>
      <c r="B136" s="3" t="s">
        <v>46</v>
      </c>
      <c r="C136" s="3" t="s">
        <v>47</v>
      </c>
      <c r="D136" s="3" t="s">
        <v>97</v>
      </c>
      <c r="E136" s="3" t="s">
        <v>52</v>
      </c>
      <c r="F136" s="3" t="s">
        <v>89</v>
      </c>
      <c r="G136" s="9" t="n">
        <v>7.93822334092478</v>
      </c>
      <c r="H136" s="9" t="n">
        <v>9.31202236266845</v>
      </c>
      <c r="I136" s="9" t="n">
        <v>9.67516924379933</v>
      </c>
      <c r="J136" s="9" t="n">
        <v>8.26571634102909</v>
      </c>
      <c r="K136" s="9" t="n">
        <v>9.79224346833324</v>
      </c>
      <c r="L136" s="9" t="n">
        <v>9.8646425290953</v>
      </c>
      <c r="M136" s="9" t="n">
        <v>9.59429014191795</v>
      </c>
      <c r="N136" s="9" t="n">
        <v>9.8862683177827</v>
      </c>
      <c r="O136" s="9" t="n">
        <v>8.72555962441258</v>
      </c>
      <c r="P136" s="9" t="n">
        <v>8.42535569866407</v>
      </c>
      <c r="Q136" s="10" t="n">
        <f aca="false">AVERAGE(G136:P136)</f>
        <v>9.14794910686275</v>
      </c>
      <c r="R136" s="10" t="n">
        <f aca="false">STDEV(G136:P136)</f>
        <v>0.739392134638326</v>
      </c>
      <c r="S136" s="11" t="n">
        <f aca="false">IF(Q136=0,"",R136/Q136)</f>
        <v>0.080826000013887</v>
      </c>
      <c r="T136" s="10" t="n">
        <f aca="false">TINV(0.05,COUNT(G136:P136)-1)*R136/SQRT(COUNT(G136:P136))</f>
        <v>0.528929269733918</v>
      </c>
    </row>
    <row r="137" customFormat="false" ht="15" hidden="false" customHeight="false" outlineLevel="0" collapsed="false">
      <c r="A137" s="3" t="s">
        <v>87</v>
      </c>
      <c r="B137" s="3" t="s">
        <v>46</v>
      </c>
      <c r="C137" s="3" t="s">
        <v>47</v>
      </c>
      <c r="D137" s="3" t="s">
        <v>97</v>
      </c>
      <c r="E137" s="3" t="s">
        <v>52</v>
      </c>
      <c r="F137" s="3" t="s">
        <v>89</v>
      </c>
      <c r="G137" s="9" t="n">
        <v>19.403775231882</v>
      </c>
      <c r="H137" s="9" t="n">
        <v>30.037726473026</v>
      </c>
      <c r="I137" s="9" t="n">
        <v>23.3806797998812</v>
      </c>
      <c r="J137" s="9" t="n">
        <v>20.2549366209973</v>
      </c>
      <c r="K137" s="9" t="n">
        <v>35.1692674404285</v>
      </c>
      <c r="L137" s="9" t="n">
        <v>27.7187106773586</v>
      </c>
      <c r="M137" s="9" t="n">
        <v>27.5790848709622</v>
      </c>
      <c r="N137" s="9" t="n">
        <v>25.1352292986386</v>
      </c>
      <c r="O137" s="9" t="n">
        <v>22.8660955251301</v>
      </c>
      <c r="P137" s="9" t="n">
        <v>20.4093484900237</v>
      </c>
      <c r="Q137" s="10" t="n">
        <f aca="false">AVERAGE(G137:P137)</f>
        <v>25.1954854428328</v>
      </c>
      <c r="R137" s="10" t="n">
        <f aca="false">STDEV(G137:P137)</f>
        <v>4.99505401840317</v>
      </c>
      <c r="S137" s="11" t="n">
        <f aca="false">IF(Q137=0,"",R137/Q137)</f>
        <v>0.198251945958202</v>
      </c>
      <c r="T137" s="10" t="n">
        <f aca="false">TINV(0.05,COUNT(G137:P137)-1)*R137/SQRT(COUNT(G137:P137))</f>
        <v>3.57324638776123</v>
      </c>
    </row>
    <row r="138" customFormat="false" ht="15" hidden="false" customHeight="false" outlineLevel="0" collapsed="false">
      <c r="A138" s="3" t="s">
        <v>84</v>
      </c>
      <c r="B138" s="3" t="s">
        <v>46</v>
      </c>
      <c r="C138" s="3" t="s">
        <v>47</v>
      </c>
      <c r="D138" s="3" t="s">
        <v>51</v>
      </c>
      <c r="E138" s="3" t="s">
        <v>52</v>
      </c>
      <c r="F138" s="3" t="s">
        <v>89</v>
      </c>
      <c r="G138" s="9" t="n">
        <v>7.80811199851876</v>
      </c>
      <c r="H138" s="9" t="n">
        <v>9.21706805065309</v>
      </c>
      <c r="I138" s="9" t="n">
        <v>10.1586742930048</v>
      </c>
      <c r="J138" s="9" t="n">
        <v>9.04788731831117</v>
      </c>
      <c r="K138" s="9" t="n">
        <v>11.7172862764984</v>
      </c>
      <c r="L138" s="9" t="n">
        <v>9.37644164039747</v>
      </c>
      <c r="M138" s="9" t="n">
        <v>10.4574337457588</v>
      </c>
      <c r="N138" s="9" t="n">
        <v>8.42723333929471</v>
      </c>
      <c r="O138" s="9" t="n">
        <v>7.17670732667852</v>
      </c>
      <c r="P138" s="9" t="n">
        <v>10.927857047233</v>
      </c>
      <c r="Q138" s="10" t="n">
        <f aca="false">AVERAGE(G138:P138)</f>
        <v>9.43147010363487</v>
      </c>
      <c r="R138" s="10" t="n">
        <f aca="false">STDEV(G138:P138)</f>
        <v>1.41301203545338</v>
      </c>
      <c r="S138" s="11" t="n">
        <f aca="false">IF(Q138=0,"",R138/Q138)</f>
        <v>0.149818853256907</v>
      </c>
      <c r="T138" s="10" t="n">
        <f aca="false">TINV(0.05,COUNT(G138:P138)-1)*R138/SQRT(COUNT(G138:P138))</f>
        <v>1.01080791778124</v>
      </c>
    </row>
    <row r="139" customFormat="false" ht="15" hidden="false" customHeight="false" outlineLevel="0" collapsed="false">
      <c r="A139" s="3" t="s">
        <v>87</v>
      </c>
      <c r="B139" s="3" t="s">
        <v>46</v>
      </c>
      <c r="C139" s="3" t="s">
        <v>47</v>
      </c>
      <c r="D139" s="3" t="s">
        <v>51</v>
      </c>
      <c r="E139" s="3" t="s">
        <v>52</v>
      </c>
      <c r="F139" s="3" t="s">
        <v>89</v>
      </c>
      <c r="G139" s="9" t="n">
        <v>30.5875067028178</v>
      </c>
      <c r="H139" s="9" t="n">
        <v>30.3128098015151</v>
      </c>
      <c r="I139" s="9" t="n">
        <v>31.2301844479678</v>
      </c>
      <c r="J139" s="9" t="n">
        <v>32.3120371630391</v>
      </c>
      <c r="K139" s="9" t="n">
        <v>32.1603353067131</v>
      </c>
      <c r="L139" s="9" t="n">
        <v>28.556839797627</v>
      </c>
      <c r="M139" s="9" t="n">
        <v>34.0384327574607</v>
      </c>
      <c r="N139" s="9" t="n">
        <v>32.0205827466142</v>
      </c>
      <c r="O139" s="9" t="n">
        <v>31.5440045858208</v>
      </c>
      <c r="P139" s="9" t="n">
        <v>33.2401085457343</v>
      </c>
      <c r="Q139" s="10" t="n">
        <f aca="false">AVERAGE(G139:P139)</f>
        <v>31.600284185531</v>
      </c>
      <c r="R139" s="10" t="n">
        <f aca="false">STDEV(G139:P139)</f>
        <v>1.5533653895561</v>
      </c>
      <c r="S139" s="11" t="n">
        <f aca="false">IF(Q139=0,"",R139/Q139)</f>
        <v>0.0491566905043009</v>
      </c>
      <c r="T139" s="10" t="n">
        <f aca="false">TINV(0.05,COUNT(G139:P139)-1)*R139/SQRT(COUNT(G139:P139))</f>
        <v>1.11121065891477</v>
      </c>
    </row>
    <row r="140" customFormat="false" ht="15" hidden="false" customHeight="false" outlineLevel="0" collapsed="false">
      <c r="A140" s="3" t="s">
        <v>84</v>
      </c>
      <c r="B140" s="3" t="s">
        <v>46</v>
      </c>
      <c r="C140" s="3" t="s">
        <v>49</v>
      </c>
      <c r="D140" s="3" t="s">
        <v>24</v>
      </c>
      <c r="E140" s="3" t="s">
        <v>48</v>
      </c>
      <c r="F140" s="3" t="s">
        <v>85</v>
      </c>
      <c r="G140" s="9" t="n">
        <v>6304.13767437693</v>
      </c>
      <c r="H140" s="9" t="n">
        <v>6276.83012396064</v>
      </c>
      <c r="I140" s="9" t="n">
        <v>6792.84552502142</v>
      </c>
      <c r="J140" s="9" t="n">
        <v>6472.81951029084</v>
      </c>
      <c r="K140" s="9" t="n">
        <v>5889.18929697045</v>
      </c>
      <c r="L140" s="9" t="n">
        <v>6170.58767936196</v>
      </c>
      <c r="M140" s="9" t="n">
        <v>6581.36399891444</v>
      </c>
      <c r="N140" s="9" t="n">
        <v>6202.97369064948</v>
      </c>
      <c r="O140" s="9" t="n">
        <v>4806.56068944382</v>
      </c>
      <c r="P140" s="9" t="n">
        <v>6153.54758697482</v>
      </c>
      <c r="Q140" s="10" t="n">
        <f aca="false">AVERAGE(G140:P140)</f>
        <v>6165.08557759648</v>
      </c>
      <c r="R140" s="10" t="n">
        <f aca="false">STDEV(G140:P140)</f>
        <v>539.258782970175</v>
      </c>
      <c r="S140" s="11" t="n">
        <f aca="false">IF(Q140=0,"",R140/Q140)</f>
        <v>0.087469796839448</v>
      </c>
      <c r="T140" s="10" t="n">
        <f aca="false">TINV(0.05,COUNT(G140:P140)-1)*R140/SQRT(COUNT(G140:P140))</f>
        <v>385.762494503051</v>
      </c>
    </row>
    <row r="141" customFormat="false" ht="15" hidden="false" customHeight="false" outlineLevel="0" collapsed="false">
      <c r="A141" s="3" t="s">
        <v>87</v>
      </c>
      <c r="B141" s="3" t="s">
        <v>46</v>
      </c>
      <c r="C141" s="3" t="s">
        <v>49</v>
      </c>
      <c r="D141" s="3" t="s">
        <v>24</v>
      </c>
      <c r="E141" s="3" t="s">
        <v>48</v>
      </c>
      <c r="F141" s="3" t="s">
        <v>85</v>
      </c>
      <c r="G141" s="9" t="n">
        <v>1959.82501066906</v>
      </c>
      <c r="H141" s="9" t="n">
        <v>2181.98126630484</v>
      </c>
      <c r="I141" s="9" t="n">
        <v>2045.98445877395</v>
      </c>
      <c r="J141" s="9" t="n">
        <v>2148.02196639886</v>
      </c>
      <c r="K141" s="9" t="n">
        <v>2113.06098365233</v>
      </c>
      <c r="L141" s="9" t="n">
        <v>2148.80575461009</v>
      </c>
      <c r="M141" s="9" t="n">
        <v>2002.74431087684</v>
      </c>
      <c r="N141" s="9" t="n">
        <v>2117.48573476462</v>
      </c>
      <c r="O141" s="9" t="n">
        <v>2130.79383963361</v>
      </c>
      <c r="P141" s="9" t="n">
        <v>2152.49571834196</v>
      </c>
      <c r="Q141" s="10" t="n">
        <f aca="false">AVERAGE(G141:P141)</f>
        <v>2100.11990440261</v>
      </c>
      <c r="R141" s="10" t="n">
        <f aca="false">STDEV(G141:P141)</f>
        <v>72.7359545866634</v>
      </c>
      <c r="S141" s="11" t="n">
        <f aca="false">IF(Q141=0,"",R141/Q141)</f>
        <v>0.0346341913307818</v>
      </c>
      <c r="T141" s="10" t="n">
        <f aca="false">TINV(0.05,COUNT(G141:P141)-1)*R141/SQRT(COUNT(G141:P141))</f>
        <v>52.0321674259383</v>
      </c>
    </row>
    <row r="142" customFormat="false" ht="15" hidden="false" customHeight="false" outlineLevel="0" collapsed="false">
      <c r="A142" s="3" t="s">
        <v>84</v>
      </c>
      <c r="B142" s="3" t="s">
        <v>46</v>
      </c>
      <c r="C142" s="3" t="s">
        <v>49</v>
      </c>
      <c r="D142" s="3" t="s">
        <v>97</v>
      </c>
      <c r="E142" s="3" t="s">
        <v>52</v>
      </c>
      <c r="F142" s="3" t="s">
        <v>89</v>
      </c>
      <c r="G142" s="9" t="n">
        <v>33.2710741292016</v>
      </c>
      <c r="H142" s="9" t="n">
        <v>33.0940960702199</v>
      </c>
      <c r="I142" s="9" t="n">
        <v>35.6744786908996</v>
      </c>
      <c r="J142" s="9" t="n">
        <v>33.2613333072121</v>
      </c>
      <c r="K142" s="9" t="n">
        <v>31.5140800373898</v>
      </c>
      <c r="L142" s="9" t="n">
        <v>32.9132301226516</v>
      </c>
      <c r="M142" s="9" t="n">
        <v>34.9618193949178</v>
      </c>
      <c r="N142" s="9" t="n">
        <v>33.9166347911322</v>
      </c>
      <c r="O142" s="9" t="n">
        <v>26.3740375471058</v>
      </c>
      <c r="P142" s="9" t="n">
        <v>30.9624352194379</v>
      </c>
      <c r="Q142" s="10" t="n">
        <f aca="false">AVERAGE(G142:P142)</f>
        <v>32.5943219310168</v>
      </c>
      <c r="R142" s="10" t="n">
        <f aca="false">STDEV(G142:P142)</f>
        <v>2.59523516704894</v>
      </c>
      <c r="S142" s="11" t="n">
        <f aca="false">IF(Q142=0,"",R142/Q142)</f>
        <v>0.0796223088346963</v>
      </c>
      <c r="T142" s="10" t="n">
        <f aca="false">TINV(0.05,COUNT(G142:P142)-1)*R142/SQRT(COUNT(G142:P142))</f>
        <v>1.85651939936639</v>
      </c>
    </row>
    <row r="143" customFormat="false" ht="15" hidden="false" customHeight="false" outlineLevel="0" collapsed="false">
      <c r="A143" s="3" t="s">
        <v>87</v>
      </c>
      <c r="B143" s="3" t="s">
        <v>46</v>
      </c>
      <c r="C143" s="3" t="s">
        <v>49</v>
      </c>
      <c r="D143" s="3" t="s">
        <v>97</v>
      </c>
      <c r="E143" s="3" t="s">
        <v>52</v>
      </c>
      <c r="F143" s="3" t="s">
        <v>89</v>
      </c>
      <c r="G143" s="9" t="n">
        <v>25.2802516635703</v>
      </c>
      <c r="H143" s="9" t="n">
        <v>25.4742196120448</v>
      </c>
      <c r="I143" s="9" t="n">
        <v>25.1765934639804</v>
      </c>
      <c r="J143" s="9" t="n">
        <v>25.4388804574277</v>
      </c>
      <c r="K143" s="9" t="n">
        <v>26.6591617459356</v>
      </c>
      <c r="L143" s="9" t="n">
        <v>24.9897968047281</v>
      </c>
      <c r="M143" s="9" t="n">
        <v>25.8228865388912</v>
      </c>
      <c r="N143" s="9" t="n">
        <v>24.3989097610252</v>
      </c>
      <c r="O143" s="9" t="n">
        <v>25.1416900776064</v>
      </c>
      <c r="P143" s="9" t="n">
        <v>25.1865843213992</v>
      </c>
      <c r="Q143" s="10" t="n">
        <f aca="false">AVERAGE(G143:P143)</f>
        <v>25.3568974446609</v>
      </c>
      <c r="R143" s="10" t="n">
        <f aca="false">STDEV(G143:P143)</f>
        <v>0.586868526398353</v>
      </c>
      <c r="S143" s="11" t="n">
        <f aca="false">IF(Q143=0,"",R143/Q143)</f>
        <v>0.023144334896615</v>
      </c>
      <c r="T143" s="10" t="n">
        <f aca="false">TINV(0.05,COUNT(G143:P143)-1)*R143/SQRT(COUNT(G143:P143))</f>
        <v>0.41982045325589</v>
      </c>
    </row>
    <row r="144" customFormat="false" ht="15" hidden="false" customHeight="false" outlineLevel="0" collapsed="false">
      <c r="A144" s="3" t="s">
        <v>84</v>
      </c>
      <c r="B144" s="3" t="s">
        <v>46</v>
      </c>
      <c r="C144" s="3" t="s">
        <v>49</v>
      </c>
      <c r="D144" s="3" t="s">
        <v>51</v>
      </c>
      <c r="E144" s="3" t="s">
        <v>52</v>
      </c>
      <c r="F144" s="3" t="s">
        <v>89</v>
      </c>
      <c r="G144" s="9" t="n">
        <v>92.0226197858932</v>
      </c>
      <c r="H144" s="9" t="n">
        <v>90.9059277623824</v>
      </c>
      <c r="I144" s="9" t="n">
        <v>92.471934767798</v>
      </c>
      <c r="J144" s="9" t="n">
        <v>90.1477939886939</v>
      </c>
      <c r="K144" s="9" t="n">
        <v>87.952057929169</v>
      </c>
      <c r="L144" s="9" t="n">
        <v>83.4191304872975</v>
      </c>
      <c r="M144" s="9" t="n">
        <v>87.9612126748538</v>
      </c>
      <c r="N144" s="9" t="n">
        <v>91.2370169724848</v>
      </c>
      <c r="O144" s="9" t="n">
        <v>66.3980018810601</v>
      </c>
      <c r="P144" s="9" t="n">
        <v>88.2739870987403</v>
      </c>
      <c r="Q144" s="10" t="n">
        <f aca="false">AVERAGE(G144:P144)</f>
        <v>87.0789683348373</v>
      </c>
      <c r="R144" s="10" t="n">
        <f aca="false">STDEV(G144:P144)</f>
        <v>7.73837444412441</v>
      </c>
      <c r="S144" s="11" t="n">
        <f aca="false">IF(Q144=0,"",R144/Q144)</f>
        <v>0.0888661704668881</v>
      </c>
      <c r="T144" s="10" t="n">
        <f aca="false">TINV(0.05,COUNT(G144:P144)-1)*R144/SQRT(COUNT(G144:P144))</f>
        <v>5.5356995995913</v>
      </c>
    </row>
    <row r="145" customFormat="false" ht="15" hidden="false" customHeight="false" outlineLevel="0" collapsed="false">
      <c r="A145" s="3" t="s">
        <v>87</v>
      </c>
      <c r="B145" s="3" t="s">
        <v>46</v>
      </c>
      <c r="C145" s="3" t="s">
        <v>49</v>
      </c>
      <c r="D145" s="3" t="s">
        <v>51</v>
      </c>
      <c r="E145" s="3" t="s">
        <v>52</v>
      </c>
      <c r="F145" s="3" t="s">
        <v>89</v>
      </c>
      <c r="G145" s="9" t="n">
        <v>47.1650261186702</v>
      </c>
      <c r="H145" s="9" t="n">
        <v>44.8336650031351</v>
      </c>
      <c r="I145" s="9" t="n">
        <v>47.7814505832765</v>
      </c>
      <c r="J145" s="9" t="n">
        <v>42.1742094810383</v>
      </c>
      <c r="K145" s="9" t="n">
        <v>46.5436607534054</v>
      </c>
      <c r="L145" s="9" t="n">
        <v>46.704675666974</v>
      </c>
      <c r="M145" s="9" t="n">
        <v>40.4563912898969</v>
      </c>
      <c r="N145" s="9" t="n">
        <v>41.8633353570112</v>
      </c>
      <c r="O145" s="9" t="n">
        <v>43.4215284597975</v>
      </c>
      <c r="P145" s="9" t="n">
        <v>43.7525059272686</v>
      </c>
      <c r="Q145" s="10" t="n">
        <f aca="false">AVERAGE(G145:P145)</f>
        <v>44.4696448640474</v>
      </c>
      <c r="R145" s="10" t="n">
        <f aca="false">STDEV(G145:P145)</f>
        <v>2.52638225832608</v>
      </c>
      <c r="S145" s="11" t="n">
        <f aca="false">IF(Q145=0,"",R145/Q145)</f>
        <v>0.0568113882188566</v>
      </c>
      <c r="T145" s="10" t="n">
        <f aca="false">TINV(0.05,COUNT(G145:P145)-1)*R145/SQRT(COUNT(G145:P145))</f>
        <v>1.80726499561532</v>
      </c>
    </row>
    <row r="146" customFormat="false" ht="15" hidden="false" customHeight="false" outlineLevel="0" collapsed="false">
      <c r="A146" s="3" t="s">
        <v>84</v>
      </c>
      <c r="B146" s="3" t="s">
        <v>46</v>
      </c>
      <c r="C146" s="3" t="s">
        <v>50</v>
      </c>
      <c r="D146" s="3" t="s">
        <v>24</v>
      </c>
      <c r="E146" s="3" t="s">
        <v>48</v>
      </c>
      <c r="F146" s="3" t="s">
        <v>85</v>
      </c>
      <c r="G146" s="9" t="n">
        <v>4457.46951216343</v>
      </c>
      <c r="H146" s="9" t="n">
        <v>3137.15358176983</v>
      </c>
      <c r="I146" s="9" t="n">
        <v>4869.18043465227</v>
      </c>
      <c r="J146" s="9" t="n">
        <v>4955.11129083682</v>
      </c>
      <c r="K146" s="9" t="n">
        <v>5054.00614543667</v>
      </c>
      <c r="L146" s="9" t="n">
        <v>4998.13640106685</v>
      </c>
      <c r="M146" s="9" t="n">
        <v>4963.62339354447</v>
      </c>
      <c r="N146" s="9" t="n">
        <v>5156.14758652547</v>
      </c>
      <c r="O146" s="9" t="n">
        <v>5036.16681945974</v>
      </c>
      <c r="P146" s="9" t="n">
        <v>3208.77670403757</v>
      </c>
      <c r="Q146" s="10" t="n">
        <f aca="false">AVERAGE(G146:P146)</f>
        <v>4583.57718694931</v>
      </c>
      <c r="R146" s="10" t="n">
        <f aca="false">STDEV(G146:P146)</f>
        <v>766.521701409976</v>
      </c>
      <c r="S146" s="11" t="n">
        <f aca="false">IF(Q146=0,"",R146/Q146)</f>
        <v>0.167232200996303</v>
      </c>
      <c r="T146" s="10" t="n">
        <f aca="false">TINV(0.05,COUNT(G146:P146)-1)*R146/SQRT(COUNT(G146:P146))</f>
        <v>548.33659268001</v>
      </c>
    </row>
    <row r="147" customFormat="false" ht="15" hidden="false" customHeight="false" outlineLevel="0" collapsed="false">
      <c r="A147" s="3" t="s">
        <v>87</v>
      </c>
      <c r="B147" s="3" t="s">
        <v>46</v>
      </c>
      <c r="C147" s="3" t="s">
        <v>50</v>
      </c>
      <c r="D147" s="3" t="s">
        <v>24</v>
      </c>
      <c r="E147" s="3" t="s">
        <v>48</v>
      </c>
      <c r="F147" s="3" t="s">
        <v>85</v>
      </c>
      <c r="G147" s="9" t="n">
        <v>1942.7429690616</v>
      </c>
      <c r="H147" s="9" t="n">
        <v>2349.82778425662</v>
      </c>
      <c r="I147" s="9" t="n">
        <v>2349.40045078978</v>
      </c>
      <c r="J147" s="9" t="n">
        <v>2110.66431623456</v>
      </c>
      <c r="K147" s="9" t="n">
        <v>2305.70204826604</v>
      </c>
      <c r="L147" s="9" t="n">
        <v>2301.81853908265</v>
      </c>
      <c r="M147" s="9" t="n">
        <v>2384.69826506743</v>
      </c>
      <c r="N147" s="9" t="n">
        <v>2319.32494425616</v>
      </c>
      <c r="O147" s="9" t="n">
        <v>2375.13441203361</v>
      </c>
      <c r="P147" s="9" t="n">
        <v>2381.72525762126</v>
      </c>
      <c r="Q147" s="10" t="n">
        <f aca="false">AVERAGE(G147:P147)</f>
        <v>2282.10389866697</v>
      </c>
      <c r="R147" s="10" t="n">
        <f aca="false">STDEV(G147:P147)</f>
        <v>143.414071490927</v>
      </c>
      <c r="S147" s="11" t="n">
        <f aca="false">IF(Q147=0,"",R147/Q147)</f>
        <v>0.0628429194545866</v>
      </c>
      <c r="T147" s="10" t="n">
        <f aca="false">TINV(0.05,COUNT(G147:P147)-1)*R147/SQRT(COUNT(G147:P147))</f>
        <v>102.592246454405</v>
      </c>
    </row>
    <row r="148" customFormat="false" ht="15" hidden="false" customHeight="false" outlineLevel="0" collapsed="false">
      <c r="A148" s="3" t="s">
        <v>84</v>
      </c>
      <c r="B148" s="3" t="s">
        <v>46</v>
      </c>
      <c r="C148" s="3" t="s">
        <v>50</v>
      </c>
      <c r="D148" s="3" t="s">
        <v>95</v>
      </c>
      <c r="E148" s="3" t="s">
        <v>96</v>
      </c>
      <c r="F148" s="3" t="s">
        <v>89</v>
      </c>
      <c r="G148" s="9" t="n">
        <v>572</v>
      </c>
      <c r="H148" s="9" t="n">
        <v>0</v>
      </c>
      <c r="I148" s="9" t="n">
        <v>818</v>
      </c>
      <c r="J148" s="9" t="n">
        <v>1921</v>
      </c>
      <c r="K148" s="9" t="n">
        <v>0</v>
      </c>
      <c r="L148" s="9" t="n">
        <v>359</v>
      </c>
      <c r="M148" s="9" t="n">
        <v>1404</v>
      </c>
      <c r="N148" s="9" t="n">
        <v>49</v>
      </c>
      <c r="O148" s="9" t="n">
        <v>1018</v>
      </c>
      <c r="P148" s="9" t="n">
        <v>0</v>
      </c>
      <c r="Q148" s="10" t="n">
        <f aca="false">AVERAGE(G148:P148)</f>
        <v>614.1</v>
      </c>
      <c r="R148" s="10" t="n">
        <f aca="false">STDEV(G148:P148)</f>
        <v>671.166720470158</v>
      </c>
      <c r="S148" s="11" t="n">
        <f aca="false">IF(Q148=0,"",R148/Q148)</f>
        <v>1.09292740672555</v>
      </c>
      <c r="T148" s="10" t="n">
        <f aca="false">TINV(0.05,COUNT(G148:P148)-1)*R148/SQRT(COUNT(G148:P148))</f>
        <v>480.12374854601</v>
      </c>
    </row>
    <row r="149" customFormat="false" ht="15" hidden="false" customHeight="false" outlineLevel="0" collapsed="false">
      <c r="A149" s="3" t="s">
        <v>87</v>
      </c>
      <c r="B149" s="3" t="s">
        <v>46</v>
      </c>
      <c r="C149" s="3" t="s">
        <v>50</v>
      </c>
      <c r="D149" s="3" t="s">
        <v>95</v>
      </c>
      <c r="E149" s="3" t="s">
        <v>96</v>
      </c>
      <c r="F149" s="3" t="s">
        <v>89</v>
      </c>
      <c r="G149" s="9" t="n">
        <v>382</v>
      </c>
      <c r="H149" s="9" t="n">
        <v>241</v>
      </c>
      <c r="I149" s="9" t="n">
        <v>171</v>
      </c>
      <c r="J149" s="9" t="n">
        <v>421</v>
      </c>
      <c r="K149" s="9" t="n">
        <v>268</v>
      </c>
      <c r="L149" s="9" t="n">
        <v>420</v>
      </c>
      <c r="M149" s="9" t="n">
        <v>224</v>
      </c>
      <c r="N149" s="9" t="n">
        <v>329</v>
      </c>
      <c r="O149" s="9" t="n">
        <v>353</v>
      </c>
      <c r="P149" s="9" t="n">
        <v>363</v>
      </c>
      <c r="Q149" s="10" t="n">
        <f aca="false">AVERAGE(G149:P149)</f>
        <v>317.2</v>
      </c>
      <c r="R149" s="10" t="n">
        <f aca="false">STDEV(G149:P149)</f>
        <v>86.5047204877668</v>
      </c>
      <c r="S149" s="11" t="n">
        <f aca="false">IF(Q149=0,"",R149/Q149)</f>
        <v>0.272713494602039</v>
      </c>
      <c r="T149" s="10" t="n">
        <f aca="false">TINV(0.05,COUNT(G149:P149)-1)*R149/SQRT(COUNT(G149:P149))</f>
        <v>61.8817491999861</v>
      </c>
    </row>
    <row r="150" customFormat="false" ht="15" hidden="false" customHeight="false" outlineLevel="0" collapsed="false">
      <c r="A150" s="3" t="s">
        <v>84</v>
      </c>
      <c r="B150" s="3" t="s">
        <v>46</v>
      </c>
      <c r="C150" s="3" t="s">
        <v>50</v>
      </c>
      <c r="D150" s="3" t="s">
        <v>97</v>
      </c>
      <c r="E150" s="3" t="s">
        <v>52</v>
      </c>
      <c r="F150" s="3" t="s">
        <v>89</v>
      </c>
      <c r="G150" s="9" t="n">
        <v>13.9673600865216</v>
      </c>
      <c r="H150" s="9" t="n">
        <v>9.37995720261976</v>
      </c>
      <c r="I150" s="9" t="n">
        <v>13.779655080279</v>
      </c>
      <c r="J150" s="9" t="n">
        <v>13.5662068149397</v>
      </c>
      <c r="K150" s="9" t="n">
        <v>14.877133693005</v>
      </c>
      <c r="L150" s="9" t="n">
        <v>13.3740248555234</v>
      </c>
      <c r="M150" s="9" t="n">
        <v>14.2302462826416</v>
      </c>
      <c r="N150" s="9" t="n">
        <v>14.5361342589611</v>
      </c>
      <c r="O150" s="9" t="n">
        <v>13.8597669025225</v>
      </c>
      <c r="P150" s="9" t="n">
        <v>8.85147414061596</v>
      </c>
      <c r="Q150" s="10" t="n">
        <f aca="false">AVERAGE(G150:P150)</f>
        <v>13.042195931763</v>
      </c>
      <c r="R150" s="10" t="n">
        <f aca="false">STDEV(G150:P150)</f>
        <v>2.11967891779491</v>
      </c>
      <c r="S150" s="11" t="n">
        <f aca="false">IF(Q150=0,"",R150/Q150)</f>
        <v>0.162524695142223</v>
      </c>
      <c r="T150" s="10" t="n">
        <f aca="false">TINV(0.05,COUNT(G150:P150)-1)*R150/SQRT(COUNT(G150:P150))</f>
        <v>1.51632695228502</v>
      </c>
    </row>
    <row r="151" customFormat="false" ht="15" hidden="false" customHeight="false" outlineLevel="0" collapsed="false">
      <c r="A151" s="3" t="s">
        <v>87</v>
      </c>
      <c r="B151" s="3" t="s">
        <v>46</v>
      </c>
      <c r="C151" s="3" t="s">
        <v>50</v>
      </c>
      <c r="D151" s="3" t="s">
        <v>97</v>
      </c>
      <c r="E151" s="3" t="s">
        <v>52</v>
      </c>
      <c r="F151" s="3" t="s">
        <v>89</v>
      </c>
      <c r="G151" s="9" t="n">
        <v>12.0221998441254</v>
      </c>
      <c r="H151" s="9" t="n">
        <v>16.4366551304761</v>
      </c>
      <c r="I151" s="9" t="n">
        <v>20.3358419082583</v>
      </c>
      <c r="J151" s="9" t="n">
        <v>12.464326135716</v>
      </c>
      <c r="K151" s="9" t="n">
        <v>16.7649194035265</v>
      </c>
      <c r="L151" s="9" t="n">
        <v>15.1258336453412</v>
      </c>
      <c r="M151" s="9" t="n">
        <v>22.7540830812629</v>
      </c>
      <c r="N151" s="9" t="n">
        <v>21.9140650927055</v>
      </c>
      <c r="O151" s="9" t="n">
        <v>16.7098660474639</v>
      </c>
      <c r="P151" s="9" t="n">
        <v>15.9335068504643</v>
      </c>
      <c r="Q151" s="10" t="n">
        <f aca="false">AVERAGE(G151:P151)</f>
        <v>17.046129713934</v>
      </c>
      <c r="R151" s="10" t="n">
        <f aca="false">STDEV(G151:P151)</f>
        <v>3.63351079949507</v>
      </c>
      <c r="S151" s="11" t="n">
        <f aca="false">IF(Q151=0,"",R151/Q151)</f>
        <v>0.213157523758893</v>
      </c>
      <c r="T151" s="10" t="n">
        <f aca="false">TINV(0.05,COUNT(G151:P151)-1)*R151/SQRT(COUNT(G151:P151))</f>
        <v>2.59925704333779</v>
      </c>
    </row>
    <row r="152" customFormat="false" ht="15" hidden="false" customHeight="false" outlineLevel="0" collapsed="false">
      <c r="A152" s="3" t="s">
        <v>84</v>
      </c>
      <c r="B152" s="3" t="s">
        <v>46</v>
      </c>
      <c r="C152" s="3" t="s">
        <v>50</v>
      </c>
      <c r="D152" s="3" t="s">
        <v>51</v>
      </c>
      <c r="E152" s="3" t="s">
        <v>52</v>
      </c>
      <c r="F152" s="3" t="s">
        <v>89</v>
      </c>
      <c r="G152" s="9" t="n">
        <v>17.8005372344062</v>
      </c>
      <c r="H152" s="9" t="n">
        <v>13.2859916163294</v>
      </c>
      <c r="I152" s="9" t="n">
        <v>17.9671247583981</v>
      </c>
      <c r="J152" s="9" t="n">
        <v>19.8392193681953</v>
      </c>
      <c r="K152" s="9" t="n">
        <v>18.2710417082505</v>
      </c>
      <c r="L152" s="9" t="n">
        <v>17.0230767147001</v>
      </c>
      <c r="M152" s="9" t="n">
        <v>19.9879372798516</v>
      </c>
      <c r="N152" s="9" t="n">
        <v>16.7099907155614</v>
      </c>
      <c r="O152" s="9" t="n">
        <v>22.4965425682357</v>
      </c>
      <c r="P152" s="9" t="n">
        <v>11.0871184579128</v>
      </c>
      <c r="Q152" s="10" t="n">
        <f aca="false">AVERAGE(G152:P152)</f>
        <v>17.4468580421841</v>
      </c>
      <c r="R152" s="10" t="n">
        <f aca="false">STDEV(G152:P152)</f>
        <v>3.28695225982784</v>
      </c>
      <c r="S152" s="11" t="n">
        <f aca="false">IF(Q152=0,"",R152/Q152)</f>
        <v>0.18839794832287</v>
      </c>
      <c r="T152" s="10" t="n">
        <f aca="false">TINV(0.05,COUNT(G152:P152)-1)*R152/SQRT(COUNT(G152:P152))</f>
        <v>2.35134399866373</v>
      </c>
    </row>
    <row r="153" customFormat="false" ht="15" hidden="false" customHeight="false" outlineLevel="0" collapsed="false">
      <c r="A153" s="3" t="s">
        <v>87</v>
      </c>
      <c r="B153" s="3" t="s">
        <v>46</v>
      </c>
      <c r="C153" s="3" t="s">
        <v>50</v>
      </c>
      <c r="D153" s="3" t="s">
        <v>51</v>
      </c>
      <c r="E153" s="3" t="s">
        <v>52</v>
      </c>
      <c r="F153" s="3" t="s">
        <v>89</v>
      </c>
      <c r="G153" s="9" t="n">
        <v>31.2303467427948</v>
      </c>
      <c r="H153" s="9" t="n">
        <v>34.9766322927927</v>
      </c>
      <c r="I153" s="9" t="n">
        <v>30.5879652240209</v>
      </c>
      <c r="J153" s="9" t="n">
        <v>36.8447616699389</v>
      </c>
      <c r="K153" s="9" t="n">
        <v>33.4238558599464</v>
      </c>
      <c r="L153" s="9" t="n">
        <v>33.8749494748633</v>
      </c>
      <c r="M153" s="9" t="n">
        <v>37.1724849266573</v>
      </c>
      <c r="N153" s="9" t="n">
        <v>34.3183508819227</v>
      </c>
      <c r="O153" s="9" t="n">
        <v>32.4869927117615</v>
      </c>
      <c r="P153" s="9" t="n">
        <v>31.8586992736656</v>
      </c>
      <c r="Q153" s="10" t="n">
        <f aca="false">AVERAGE(G153:P153)</f>
        <v>33.6775039058364</v>
      </c>
      <c r="R153" s="10" t="n">
        <f aca="false">STDEV(G153:P153)</f>
        <v>2.2287851752547</v>
      </c>
      <c r="S153" s="11" t="n">
        <f aca="false">IF(Q153=0,"",R153/Q153)</f>
        <v>0.0661802365604789</v>
      </c>
      <c r="T153" s="10" t="n">
        <f aca="false">TINV(0.05,COUNT(G153:P153)-1)*R153/SQRT(COUNT(G153:P153))</f>
        <v>1.59437686704349</v>
      </c>
    </row>
    <row r="154" customFormat="false" ht="15" hidden="false" customHeight="false" outlineLevel="0" collapsed="false">
      <c r="A154" s="3" t="s">
        <v>84</v>
      </c>
      <c r="B154" s="3" t="s">
        <v>46</v>
      </c>
      <c r="C154" s="3" t="s">
        <v>53</v>
      </c>
      <c r="D154" s="3" t="s">
        <v>98</v>
      </c>
      <c r="E154" s="3" t="s">
        <v>20</v>
      </c>
      <c r="F154" s="3" t="s">
        <v>89</v>
      </c>
      <c r="G154" s="9" t="n">
        <v>0.358</v>
      </c>
      <c r="H154" s="9" t="n">
        <v>0.4</v>
      </c>
      <c r="I154" s="9" t="n">
        <v>0.356</v>
      </c>
      <c r="J154" s="9" t="n">
        <v>0.361</v>
      </c>
      <c r="K154" s="9" t="n">
        <v>0.341</v>
      </c>
      <c r="L154" s="9" t="n">
        <v>0.341</v>
      </c>
      <c r="M154" s="9" t="n">
        <v>0.336</v>
      </c>
      <c r="N154" s="9" t="n">
        <v>0.327</v>
      </c>
      <c r="O154" s="9" t="n">
        <v>0.362</v>
      </c>
      <c r="P154" s="9" t="n">
        <v>0.382</v>
      </c>
      <c r="Q154" s="10" t="n">
        <f aca="false">AVERAGE(G154:P154)</f>
        <v>0.3564</v>
      </c>
      <c r="R154" s="10" t="n">
        <f aca="false">STDEV(G154:P154)</f>
        <v>0.0220262469693671</v>
      </c>
      <c r="S154" s="11" t="n">
        <f aca="false">IF(Q154=0,"",R154/Q154)</f>
        <v>0.0618020397569224</v>
      </c>
      <c r="T154" s="10" t="n">
        <f aca="false">TINV(0.05,COUNT(G154:P154)-1)*R154/SQRT(COUNT(G154:P154))</f>
        <v>0.0157566278821522</v>
      </c>
    </row>
    <row r="155" customFormat="false" ht="15" hidden="false" customHeight="false" outlineLevel="0" collapsed="false">
      <c r="A155" s="3" t="s">
        <v>87</v>
      </c>
      <c r="B155" s="3" t="s">
        <v>46</v>
      </c>
      <c r="C155" s="3" t="s">
        <v>53</v>
      </c>
      <c r="D155" s="3" t="s">
        <v>98</v>
      </c>
      <c r="E155" s="3" t="s">
        <v>20</v>
      </c>
      <c r="F155" s="3" t="s">
        <v>89</v>
      </c>
      <c r="G155" s="9" t="n">
        <v>0.386</v>
      </c>
      <c r="H155" s="9" t="n">
        <v>0.397</v>
      </c>
      <c r="I155" s="9" t="n">
        <v>0.392</v>
      </c>
      <c r="J155" s="9" t="n">
        <v>0.368</v>
      </c>
      <c r="K155" s="9" t="n">
        <v>0.381</v>
      </c>
      <c r="L155" s="9" t="n">
        <v>0.357</v>
      </c>
      <c r="M155" s="9" t="n">
        <v>0.377</v>
      </c>
      <c r="N155" s="9" t="n">
        <v>0.367</v>
      </c>
      <c r="O155" s="9" t="n">
        <v>0.371</v>
      </c>
      <c r="P155" s="9" t="n">
        <v>0.412</v>
      </c>
      <c r="Q155" s="10" t="n">
        <f aca="false">AVERAGE(G155:P155)</f>
        <v>0.3808</v>
      </c>
      <c r="R155" s="10" t="n">
        <f aca="false">STDEV(G155:P155)</f>
        <v>0.0163964765862805</v>
      </c>
      <c r="S155" s="11" t="n">
        <f aca="false">IF(Q155=0,"",R155/Q155)</f>
        <v>0.0430579742286778</v>
      </c>
      <c r="T155" s="10" t="n">
        <f aca="false">TINV(0.05,COUNT(G155:P155)-1)*R155/SQRT(COUNT(G155:P155))</f>
        <v>0.0117293327595821</v>
      </c>
    </row>
    <row r="156" customFormat="false" ht="15" hidden="false" customHeight="false" outlineLevel="0" collapsed="false">
      <c r="A156" s="3" t="s">
        <v>84</v>
      </c>
      <c r="B156" s="3" t="s">
        <v>46</v>
      </c>
      <c r="C156" s="3" t="s">
        <v>53</v>
      </c>
      <c r="D156" s="3" t="s">
        <v>54</v>
      </c>
      <c r="E156" s="3" t="s">
        <v>20</v>
      </c>
      <c r="F156" s="3" t="s">
        <v>89</v>
      </c>
      <c r="G156" s="9" t="n">
        <v>0.449</v>
      </c>
      <c r="H156" s="9" t="n">
        <v>0.496</v>
      </c>
      <c r="I156" s="9" t="n">
        <v>0.478</v>
      </c>
      <c r="J156" s="9" t="n">
        <v>0.45</v>
      </c>
      <c r="K156" s="9" t="n">
        <v>0.499</v>
      </c>
      <c r="L156" s="9" t="n">
        <v>0.482</v>
      </c>
      <c r="M156" s="9" t="n">
        <v>0.412</v>
      </c>
      <c r="N156" s="9" t="n">
        <v>0.433</v>
      </c>
      <c r="O156" s="9" t="n">
        <v>0.445</v>
      </c>
      <c r="P156" s="9" t="n">
        <v>0.484</v>
      </c>
      <c r="Q156" s="10" t="n">
        <f aca="false">AVERAGE(G156:P156)</f>
        <v>0.4628</v>
      </c>
      <c r="R156" s="10" t="n">
        <f aca="false">STDEV(G156:P156)</f>
        <v>0.0290623850057462</v>
      </c>
      <c r="S156" s="11" t="n">
        <f aca="false">IF(Q156=0,"",R156/Q156)</f>
        <v>0.0627968561057611</v>
      </c>
      <c r="T156" s="10" t="n">
        <f aca="false">TINV(0.05,COUNT(G156:P156)-1)*R156/SQRT(COUNT(G156:P156))</f>
        <v>0.0207899778178389</v>
      </c>
    </row>
    <row r="157" customFormat="false" ht="15" hidden="false" customHeight="false" outlineLevel="0" collapsed="false">
      <c r="A157" s="3" t="s">
        <v>87</v>
      </c>
      <c r="B157" s="3" t="s">
        <v>46</v>
      </c>
      <c r="C157" s="3" t="s">
        <v>53</v>
      </c>
      <c r="D157" s="3" t="s">
        <v>54</v>
      </c>
      <c r="E157" s="3" t="s">
        <v>20</v>
      </c>
      <c r="F157" s="3" t="s">
        <v>89</v>
      </c>
      <c r="G157" s="9" t="n">
        <v>0.47</v>
      </c>
      <c r="H157" s="9" t="n">
        <v>0.463</v>
      </c>
      <c r="I157" s="9" t="n">
        <v>0.464</v>
      </c>
      <c r="J157" s="9" t="n">
        <v>0.467</v>
      </c>
      <c r="K157" s="9" t="n">
        <v>0.469</v>
      </c>
      <c r="L157" s="9" t="n">
        <v>0.851</v>
      </c>
      <c r="M157" s="9" t="n">
        <v>0.446</v>
      </c>
      <c r="N157" s="9" t="n">
        <v>0.462</v>
      </c>
      <c r="O157" s="9" t="n">
        <v>0.517</v>
      </c>
      <c r="P157" s="9" t="n">
        <v>0.465</v>
      </c>
      <c r="Q157" s="10" t="n">
        <f aca="false">AVERAGE(G157:P157)</f>
        <v>0.5074</v>
      </c>
      <c r="R157" s="10" t="n">
        <f aca="false">STDEV(G157:P157)</f>
        <v>0.122084852095217</v>
      </c>
      <c r="S157" s="11" t="n">
        <f aca="false">IF(Q157=0,"",R157/Q157)</f>
        <v>0.240608695497078</v>
      </c>
      <c r="T157" s="10" t="n">
        <f aca="false">TINV(0.05,COUNT(G157:P157)-1)*R157/SQRT(COUNT(G157:P157))</f>
        <v>0.087334242060721</v>
      </c>
    </row>
    <row r="158" customFormat="false" ht="15" hidden="false" customHeight="false" outlineLevel="0" collapsed="false">
      <c r="A158" s="3" t="s">
        <v>84</v>
      </c>
      <c r="B158" s="3" t="s">
        <v>46</v>
      </c>
      <c r="C158" s="3" t="s">
        <v>53</v>
      </c>
      <c r="D158" s="3" t="s">
        <v>55</v>
      </c>
      <c r="E158" s="3" t="s">
        <v>20</v>
      </c>
      <c r="F158" s="3" t="s">
        <v>89</v>
      </c>
      <c r="G158" s="9" t="n">
        <v>0.753</v>
      </c>
      <c r="H158" s="9" t="n">
        <v>0.758</v>
      </c>
      <c r="I158" s="9" t="n">
        <v>0.956</v>
      </c>
      <c r="J158" s="9" t="n">
        <v>0.562</v>
      </c>
      <c r="K158" s="9" t="n">
        <v>1.382</v>
      </c>
      <c r="L158" s="9" t="n">
        <v>0.642</v>
      </c>
      <c r="M158" s="9" t="n">
        <v>0.691</v>
      </c>
      <c r="N158" s="9" t="n">
        <v>0.744</v>
      </c>
      <c r="O158" s="9" t="n">
        <v>0.692</v>
      </c>
      <c r="P158" s="9" t="n">
        <v>0.661</v>
      </c>
      <c r="Q158" s="10" t="n">
        <f aca="false">AVERAGE(G158:P158)</f>
        <v>0.7841</v>
      </c>
      <c r="R158" s="10" t="n">
        <f aca="false">STDEV(G158:P158)</f>
        <v>0.2338363387785</v>
      </c>
      <c r="S158" s="11" t="n">
        <f aca="false">IF(Q158=0,"",R158/Q158)</f>
        <v>0.298222597600433</v>
      </c>
      <c r="T158" s="10" t="n">
        <f aca="false">TINV(0.05,COUNT(G158:P158)-1)*R158/SQRT(COUNT(G158:P158))</f>
        <v>0.167276439812096</v>
      </c>
    </row>
    <row r="159" customFormat="false" ht="15" hidden="false" customHeight="false" outlineLevel="0" collapsed="false">
      <c r="A159" s="3" t="s">
        <v>87</v>
      </c>
      <c r="B159" s="3" t="s">
        <v>46</v>
      </c>
      <c r="C159" s="3" t="s">
        <v>53</v>
      </c>
      <c r="D159" s="3" t="s">
        <v>55</v>
      </c>
      <c r="E159" s="3" t="s">
        <v>20</v>
      </c>
      <c r="F159" s="3" t="s">
        <v>89</v>
      </c>
      <c r="G159" s="9" t="n">
        <v>1.27</v>
      </c>
      <c r="H159" s="9" t="n">
        <v>0.693</v>
      </c>
      <c r="I159" s="9" t="n">
        <v>1.219</v>
      </c>
      <c r="J159" s="9" t="n">
        <v>1.277</v>
      </c>
      <c r="K159" s="9" t="n">
        <v>1.343</v>
      </c>
      <c r="L159" s="9" t="n">
        <v>9.994</v>
      </c>
      <c r="M159" s="9" t="n">
        <v>0.83</v>
      </c>
      <c r="N159" s="9" t="n">
        <v>1.223</v>
      </c>
      <c r="O159" s="9" t="n">
        <v>4.566</v>
      </c>
      <c r="P159" s="9" t="n">
        <v>0.851</v>
      </c>
      <c r="Q159" s="10" t="n">
        <f aca="false">AVERAGE(G159:P159)</f>
        <v>2.3266</v>
      </c>
      <c r="R159" s="10" t="n">
        <f aca="false">STDEV(G159:P159)</f>
        <v>2.91585768590383</v>
      </c>
      <c r="S159" s="11" t="n">
        <f aca="false">IF(Q159=0,"",R159/Q159)</f>
        <v>1.25326987273439</v>
      </c>
      <c r="T159" s="10" t="n">
        <f aca="false">TINV(0.05,COUNT(G159:P159)-1)*R159/SQRT(COUNT(G159:P159))</f>
        <v>2.08587893243895</v>
      </c>
    </row>
    <row r="160" customFormat="false" ht="15" hidden="false" customHeight="false" outlineLevel="0" collapsed="false">
      <c r="A160" s="3" t="s">
        <v>84</v>
      </c>
      <c r="B160" s="3" t="s">
        <v>46</v>
      </c>
      <c r="C160" s="3" t="s">
        <v>53</v>
      </c>
      <c r="D160" s="3" t="s">
        <v>56</v>
      </c>
      <c r="E160" s="3" t="s">
        <v>20</v>
      </c>
      <c r="F160" s="3" t="s">
        <v>89</v>
      </c>
      <c r="G160" s="9" t="n">
        <v>0.074</v>
      </c>
      <c r="H160" s="9" t="n">
        <v>0.065</v>
      </c>
      <c r="I160" s="9" t="n">
        <v>0.089</v>
      </c>
      <c r="J160" s="9" t="n">
        <v>0.042</v>
      </c>
      <c r="K160" s="9" t="n">
        <v>0.175</v>
      </c>
      <c r="L160" s="9" t="n">
        <v>0.06</v>
      </c>
      <c r="M160" s="9" t="n">
        <v>0.058</v>
      </c>
      <c r="N160" s="9" t="n">
        <v>0.074</v>
      </c>
      <c r="O160" s="9" t="n">
        <v>0.059</v>
      </c>
      <c r="P160" s="9" t="n">
        <v>0.054</v>
      </c>
      <c r="Q160" s="10" t="n">
        <f aca="false">AVERAGE(G160:P160)</f>
        <v>0.075</v>
      </c>
      <c r="R160" s="10" t="n">
        <f aca="false">STDEV(G160:P160)</f>
        <v>0.0374136041805354</v>
      </c>
      <c r="S160" s="11" t="n">
        <f aca="false">IF(Q160=0,"",R160/Q160)</f>
        <v>0.498848055740472</v>
      </c>
      <c r="T160" s="10" t="n">
        <f aca="false">TINV(0.05,COUNT(G160:P160)-1)*R160/SQRT(COUNT(G160:P160))</f>
        <v>0.0267640801277989</v>
      </c>
    </row>
    <row r="161" customFormat="false" ht="15" hidden="false" customHeight="false" outlineLevel="0" collapsed="false">
      <c r="A161" s="3" t="s">
        <v>87</v>
      </c>
      <c r="B161" s="3" t="s">
        <v>46</v>
      </c>
      <c r="C161" s="3" t="s">
        <v>53</v>
      </c>
      <c r="D161" s="3" t="s">
        <v>56</v>
      </c>
      <c r="E161" s="3" t="s">
        <v>20</v>
      </c>
      <c r="F161" s="3" t="s">
        <v>89</v>
      </c>
      <c r="G161" s="9" t="n">
        <v>0.124</v>
      </c>
      <c r="H161" s="9" t="n">
        <v>0.051</v>
      </c>
      <c r="I161" s="9" t="n">
        <v>0.121</v>
      </c>
      <c r="J161" s="9" t="n">
        <v>0.124</v>
      </c>
      <c r="K161" s="9" t="n">
        <v>0.133</v>
      </c>
      <c r="L161" s="9" t="n">
        <v>1.656</v>
      </c>
      <c r="M161" s="9" t="n">
        <v>0.068</v>
      </c>
      <c r="N161" s="9" t="n">
        <v>0.119</v>
      </c>
      <c r="O161" s="9" t="n">
        <v>0.579</v>
      </c>
      <c r="P161" s="9" t="n">
        <v>0.066</v>
      </c>
      <c r="Q161" s="10" t="n">
        <f aca="false">AVERAGE(G161:P161)</f>
        <v>0.3041</v>
      </c>
      <c r="R161" s="10" t="n">
        <f aca="false">STDEV(G161:P161)</f>
        <v>0.499069456310664</v>
      </c>
      <c r="S161" s="11" t="n">
        <f aca="false">IF(Q161=0,"",R161/Q161)</f>
        <v>1.64113599576016</v>
      </c>
      <c r="T161" s="10" t="n">
        <f aca="false">TINV(0.05,COUNT(G161:P161)-1)*R161/SQRT(COUNT(G161:P161))</f>
        <v>0.357012782130859</v>
      </c>
    </row>
    <row r="162" customFormat="false" ht="15" hidden="false" customHeight="false" outlineLevel="0" collapsed="false">
      <c r="A162" s="3" t="s">
        <v>84</v>
      </c>
      <c r="B162" s="3" t="s">
        <v>46</v>
      </c>
      <c r="C162" s="3" t="s">
        <v>57</v>
      </c>
      <c r="D162" s="3" t="s">
        <v>24</v>
      </c>
      <c r="E162" s="3" t="s">
        <v>48</v>
      </c>
      <c r="F162" s="3" t="s">
        <v>85</v>
      </c>
      <c r="G162" s="9" t="n">
        <v>1.04924305287013</v>
      </c>
      <c r="H162" s="9" t="n">
        <v>1.04926109556369</v>
      </c>
      <c r="I162" s="9" t="n">
        <v>1.04926707496532</v>
      </c>
      <c r="J162" s="9" t="n">
        <v>1.04925396233161</v>
      </c>
      <c r="K162" s="9" t="n">
        <v>1.04925312313421</v>
      </c>
      <c r="L162" s="9" t="n">
        <v>1.04926141026734</v>
      </c>
      <c r="M162" s="9" t="n">
        <v>1.04925553583035</v>
      </c>
      <c r="N162" s="9" t="n">
        <v>1.04925700443343</v>
      </c>
      <c r="O162" s="9" t="n">
        <v>1.04925742403507</v>
      </c>
      <c r="P162" s="9" t="n">
        <v>1.04929319630836</v>
      </c>
      <c r="Q162" s="10" t="n">
        <f aca="false">AVERAGE(G162:P162)</f>
        <v>1.04926028797395</v>
      </c>
      <c r="R162" s="10" t="n">
        <f aca="false">STDEV(G162:P162)</f>
        <v>1.31693988971052E-005</v>
      </c>
      <c r="S162" s="11" t="n">
        <f aca="false">IF(Q162=0,"",R162/Q162)</f>
        <v>1.25511267776411E-005</v>
      </c>
      <c r="T162" s="10" t="n">
        <f aca="false">TINV(0.05,COUNT(G162:P162)-1)*R162/SQRT(COUNT(G162:P162))</f>
        <v>9.42082044852669E-006</v>
      </c>
    </row>
    <row r="163" customFormat="false" ht="15" hidden="false" customHeight="false" outlineLevel="0" collapsed="false">
      <c r="A163" s="3" t="s">
        <v>87</v>
      </c>
      <c r="B163" s="3" t="s">
        <v>46</v>
      </c>
      <c r="C163" s="3" t="s">
        <v>57</v>
      </c>
      <c r="D163" s="3" t="s">
        <v>24</v>
      </c>
      <c r="E163" s="3" t="s">
        <v>48</v>
      </c>
      <c r="F163" s="3" t="s">
        <v>85</v>
      </c>
      <c r="G163" s="9" t="n">
        <v>1.0493051559115</v>
      </c>
      <c r="H163" s="9" t="n">
        <v>1.04925196923998</v>
      </c>
      <c r="I163" s="9" t="n">
        <v>1.04928920983457</v>
      </c>
      <c r="J163" s="9" t="n">
        <v>1.04922826252021</v>
      </c>
      <c r="K163" s="9" t="n">
        <v>1.04931145054898</v>
      </c>
      <c r="L163" s="9" t="n">
        <v>1.04930809339959</v>
      </c>
      <c r="M163" s="9" t="n">
        <v>1.0493097719716</v>
      </c>
      <c r="N163" s="9" t="n">
        <v>1.04922962615204</v>
      </c>
      <c r="O163" s="9" t="n">
        <v>1.04925826323934</v>
      </c>
      <c r="P163" s="9" t="n">
        <v>1.04925836813997</v>
      </c>
      <c r="Q163" s="10" t="n">
        <f aca="false">AVERAGE(G163:P163)</f>
        <v>1.04927501709578</v>
      </c>
      <c r="R163" s="10" t="n">
        <f aca="false">STDEV(G163:P163)</f>
        <v>3.34573244412178E-005</v>
      </c>
      <c r="S163" s="11" t="n">
        <f aca="false">IF(Q163=0,"",R163/Q163)</f>
        <v>3.18861346130419E-005</v>
      </c>
      <c r="T163" s="10" t="n">
        <f aca="false">TINV(0.05,COUNT(G163:P163)-1)*R163/SQRT(COUNT(G163:P163))</f>
        <v>2.39339280943263E-005</v>
      </c>
    </row>
    <row r="164" customFormat="false" ht="15" hidden="false" customHeight="false" outlineLevel="0" collapsed="false">
      <c r="A164" s="3" t="s">
        <v>84</v>
      </c>
      <c r="B164" s="3" t="s">
        <v>46</v>
      </c>
      <c r="C164" s="3" t="s">
        <v>57</v>
      </c>
      <c r="D164" s="3" t="s">
        <v>51</v>
      </c>
      <c r="E164" s="3" t="s">
        <v>52</v>
      </c>
      <c r="F164" s="3" t="s">
        <v>89</v>
      </c>
      <c r="G164" s="9" t="n">
        <v>0.309918584387881</v>
      </c>
      <c r="H164" s="9" t="n">
        <v>0.159960633688049</v>
      </c>
      <c r="I164" s="9" t="n">
        <v>0.309925989673666</v>
      </c>
      <c r="J164" s="9" t="n">
        <v>0.629840776251764</v>
      </c>
      <c r="K164" s="9" t="n">
        <v>0.149962164545885</v>
      </c>
      <c r="L164" s="9" t="n">
        <v>0.159960985515633</v>
      </c>
      <c r="M164" s="9" t="n">
        <v>0.30992264330823</v>
      </c>
      <c r="N164" s="9" t="n">
        <v>0.159960201901767</v>
      </c>
      <c r="O164" s="9" t="n">
        <v>0</v>
      </c>
      <c r="P164" s="9" t="n">
        <v>0.469873604000524</v>
      </c>
      <c r="Q164" s="10" t="n">
        <f aca="false">AVERAGE(G164:P164)</f>
        <v>0.26593255832734</v>
      </c>
      <c r="R164" s="10" t="n">
        <f aca="false">STDEV(G164:P164)</f>
        <v>0.181868659093659</v>
      </c>
      <c r="S164" s="11" t="n">
        <f aca="false">IF(Q164=0,"",R164/Q164)</f>
        <v>0.683890157104399</v>
      </c>
      <c r="T164" s="10" t="n">
        <f aca="false">TINV(0.05,COUNT(G164:P164)-1)*R164/SQRT(COUNT(G164:P164))</f>
        <v>0.130101001262274</v>
      </c>
    </row>
    <row r="165" customFormat="false" ht="15" hidden="false" customHeight="false" outlineLevel="0" collapsed="false">
      <c r="A165" s="3" t="s">
        <v>87</v>
      </c>
      <c r="B165" s="3" t="s">
        <v>46</v>
      </c>
      <c r="C165" s="3" t="s">
        <v>57</v>
      </c>
      <c r="D165" s="3" t="s">
        <v>51</v>
      </c>
      <c r="E165" s="3" t="s">
        <v>52</v>
      </c>
      <c r="F165" s="3" t="s">
        <v>89</v>
      </c>
      <c r="G165" s="9" t="n">
        <v>0.149969931028829</v>
      </c>
      <c r="H165" s="9" t="n">
        <v>0</v>
      </c>
      <c r="I165" s="9" t="n">
        <v>0.149967816906492</v>
      </c>
      <c r="J165" s="9" t="n">
        <v>0</v>
      </c>
      <c r="K165" s="9" t="n">
        <v>0.619880177161755</v>
      </c>
      <c r="L165" s="9" t="n">
        <v>0.469907569181142</v>
      </c>
      <c r="M165" s="9" t="n">
        <v>0.619878813691923</v>
      </c>
      <c r="N165" s="9" t="n">
        <v>0.15995661976472</v>
      </c>
      <c r="O165" s="9" t="n">
        <v>0.309924347466783</v>
      </c>
      <c r="P165" s="9" t="n">
        <v>0.45988764944724</v>
      </c>
      <c r="Q165" s="10" t="n">
        <f aca="false">AVERAGE(G165:P165)</f>
        <v>0.293937292464888</v>
      </c>
      <c r="R165" s="10" t="n">
        <f aca="false">STDEV(G165:P165)</f>
        <v>0.236511728638912</v>
      </c>
      <c r="S165" s="11" t="n">
        <f aca="false">IF(Q165=0,"",R165/Q165)</f>
        <v>0.804633283022989</v>
      </c>
      <c r="T165" s="10" t="n">
        <f aca="false">TINV(0.05,COUNT(G165:P165)-1)*R165/SQRT(COUNT(G165:P165))</f>
        <v>0.169190298424905</v>
      </c>
    </row>
    <row r="166" customFormat="false" ht="15" hidden="false" customHeight="false" outlineLevel="0" collapsed="false">
      <c r="A166" s="3" t="s">
        <v>84</v>
      </c>
      <c r="B166" s="3" t="s">
        <v>46</v>
      </c>
      <c r="C166" s="3" t="s">
        <v>57</v>
      </c>
      <c r="D166" s="3" t="s">
        <v>58</v>
      </c>
      <c r="E166" s="3" t="s">
        <v>20</v>
      </c>
      <c r="F166" s="3" t="s">
        <v>89</v>
      </c>
      <c r="G166" s="9" t="n">
        <v>0.0284320535558686</v>
      </c>
      <c r="H166" s="9" t="n">
        <v>0.0249880910945095</v>
      </c>
      <c r="I166" s="9" t="n">
        <v>0.0403496589262463</v>
      </c>
      <c r="J166" s="9" t="n">
        <v>0.0333640561550831</v>
      </c>
      <c r="K166" s="9" t="n">
        <v>0.0289676152996111</v>
      </c>
      <c r="L166" s="9" t="n">
        <v>0.0310212609089787</v>
      </c>
      <c r="M166" s="9" t="n">
        <v>0.0279773017157872</v>
      </c>
      <c r="N166" s="9" t="n">
        <v>0.0362950033888489</v>
      </c>
      <c r="O166" s="9" t="n">
        <v>0.0945981311947706</v>
      </c>
      <c r="P166" s="9" t="n">
        <v>0.0949189392005809</v>
      </c>
      <c r="Q166" s="10" t="n">
        <f aca="false">AVERAGE(G166:P166)</f>
        <v>0.0440912111440285</v>
      </c>
      <c r="R166" s="10" t="n">
        <f aca="false">STDEV(G166:P166)</f>
        <v>0.027066999329628</v>
      </c>
      <c r="S166" s="11" t="n">
        <f aca="false">IF(Q166=0,"",R166/Q166)</f>
        <v>0.613886500899485</v>
      </c>
      <c r="T166" s="10" t="n">
        <f aca="false">TINV(0.05,COUNT(G166:P166)-1)*R166/SQRT(COUNT(G166:P166))</f>
        <v>0.0193625648943527</v>
      </c>
    </row>
    <row r="167" customFormat="false" ht="15" hidden="false" customHeight="false" outlineLevel="0" collapsed="false">
      <c r="A167" s="3" t="s">
        <v>87</v>
      </c>
      <c r="B167" s="3" t="s">
        <v>46</v>
      </c>
      <c r="C167" s="3" t="s">
        <v>57</v>
      </c>
      <c r="D167" s="3" t="s">
        <v>58</v>
      </c>
      <c r="E167" s="3" t="s">
        <v>20</v>
      </c>
      <c r="F167" s="3" t="s">
        <v>89</v>
      </c>
      <c r="G167" s="9" t="n">
        <v>0.00619373860177614</v>
      </c>
      <c r="H167" s="9" t="n">
        <v>0.00532878662192314</v>
      </c>
      <c r="I167" s="9" t="n">
        <v>0.00595767490425686</v>
      </c>
      <c r="J167" s="9" t="n">
        <v>0.00424192891351302</v>
      </c>
      <c r="K167" s="9" t="n">
        <v>0.00365486049229195</v>
      </c>
      <c r="L167" s="9" t="n">
        <v>0.00374376962575522</v>
      </c>
      <c r="M167" s="9" t="n">
        <v>0.0103204496670005</v>
      </c>
      <c r="N167" s="9" t="n">
        <v>0.0189470730088216</v>
      </c>
      <c r="O167" s="9" t="n">
        <v>0.00626899428234769</v>
      </c>
      <c r="P167" s="9" t="n">
        <v>0.0117597805908301</v>
      </c>
      <c r="Q167" s="10" t="n">
        <f aca="false">AVERAGE(G167:P167)</f>
        <v>0.00764170567085162</v>
      </c>
      <c r="R167" s="10" t="n">
        <f aca="false">STDEV(G167:P167)</f>
        <v>0.00479304313352051</v>
      </c>
      <c r="S167" s="11" t="n">
        <f aca="false">IF(Q167=0,"",R167/Q167)</f>
        <v>0.627221636107107</v>
      </c>
      <c r="T167" s="10" t="n">
        <f aca="false">TINV(0.05,COUNT(G167:P167)-1)*R167/SQRT(COUNT(G167:P167))</f>
        <v>0.00342873650617917</v>
      </c>
    </row>
    <row r="168" customFormat="false" ht="15" hidden="false" customHeight="false" outlineLevel="0" collapsed="false">
      <c r="A168" s="3" t="s">
        <v>84</v>
      </c>
      <c r="B168" s="3" t="s">
        <v>46</v>
      </c>
      <c r="C168" s="3" t="s">
        <v>59</v>
      </c>
      <c r="D168" s="3" t="s">
        <v>24</v>
      </c>
      <c r="E168" s="3" t="s">
        <v>48</v>
      </c>
      <c r="F168" s="3" t="s">
        <v>85</v>
      </c>
      <c r="G168" s="9" t="n">
        <v>99.9949732369561</v>
      </c>
      <c r="H168" s="9" t="n">
        <v>99.9932497274874</v>
      </c>
      <c r="I168" s="9" t="n">
        <v>99.9947563629492</v>
      </c>
      <c r="J168" s="9" t="n">
        <v>99.9937226873658</v>
      </c>
      <c r="K168" s="9" t="n">
        <v>99.9917055560377</v>
      </c>
      <c r="L168" s="9" t="n">
        <v>99.9913756463891</v>
      </c>
      <c r="M168" s="9" t="n">
        <v>99.9936950573389</v>
      </c>
      <c r="N168" s="9" t="n">
        <v>99.9899860508568</v>
      </c>
      <c r="O168" s="9" t="n">
        <v>99.9889352132459</v>
      </c>
      <c r="P168" s="9" t="n">
        <v>99.9951747377826</v>
      </c>
      <c r="Q168" s="10" t="n">
        <f aca="false">AVERAGE(G168:P168)</f>
        <v>99.992757427641</v>
      </c>
      <c r="R168" s="10" t="n">
        <f aca="false">STDEV(G168:P168)</f>
        <v>0.00216301697720739</v>
      </c>
      <c r="S168" s="11" t="n">
        <f aca="false">IF(Q168=0,"",R168/Q168)</f>
        <v>2.163173646624E-005</v>
      </c>
      <c r="T168" s="10" t="n">
        <f aca="false">TINV(0.05,COUNT(G168:P168)-1)*R168/SQRT(COUNT(G168:P168))</f>
        <v>0.0015473291323771</v>
      </c>
    </row>
    <row r="169" customFormat="false" ht="15" hidden="false" customHeight="false" outlineLevel="0" collapsed="false">
      <c r="A169" s="3" t="s">
        <v>87</v>
      </c>
      <c r="B169" s="3" t="s">
        <v>46</v>
      </c>
      <c r="C169" s="3" t="s">
        <v>59</v>
      </c>
      <c r="D169" s="3" t="s">
        <v>24</v>
      </c>
      <c r="E169" s="3" t="s">
        <v>48</v>
      </c>
      <c r="F169" s="3" t="s">
        <v>85</v>
      </c>
      <c r="G169" s="9" t="n">
        <v>99.9860060503406</v>
      </c>
      <c r="H169" s="9" t="n">
        <v>99.9792531958264</v>
      </c>
      <c r="I169" s="9" t="n">
        <v>99.9723332730237</v>
      </c>
      <c r="J169" s="9" t="n">
        <v>99.9770823277426</v>
      </c>
      <c r="K169" s="9" t="n">
        <v>99.9872313230906</v>
      </c>
      <c r="L169" s="9" t="n">
        <v>99.9707444506047</v>
      </c>
      <c r="M169" s="9" t="n">
        <v>99.9791705196274</v>
      </c>
      <c r="N169" s="9" t="n">
        <v>99.9891877754196</v>
      </c>
      <c r="O169" s="9" t="n">
        <v>99.9736089058496</v>
      </c>
      <c r="P169" s="9" t="n">
        <v>99.9669556843062</v>
      </c>
      <c r="Q169" s="10" t="n">
        <f aca="false">AVERAGE(G169:P169)</f>
        <v>99.9781573505831</v>
      </c>
      <c r="R169" s="10" t="n">
        <f aca="false">STDEV(G169:P169)</f>
        <v>0.0074835303746822</v>
      </c>
      <c r="S169" s="11" t="n">
        <f aca="false">IF(Q169=0,"",R169/Q169)</f>
        <v>7.48516533310419E-005</v>
      </c>
      <c r="T169" s="10" t="n">
        <f aca="false">TINV(0.05,COUNT(G169:P169)-1)*R169/SQRT(COUNT(G169:P169))</f>
        <v>0.00535339513457015</v>
      </c>
    </row>
    <row r="170" customFormat="false" ht="15" hidden="false" customHeight="false" outlineLevel="0" collapsed="false">
      <c r="A170" s="3" t="s">
        <v>84</v>
      </c>
      <c r="B170" s="3" t="s">
        <v>46</v>
      </c>
      <c r="C170" s="3" t="s">
        <v>59</v>
      </c>
      <c r="D170" s="3" t="s">
        <v>51</v>
      </c>
      <c r="E170" s="3" t="s">
        <v>52</v>
      </c>
      <c r="F170" s="3" t="s">
        <v>89</v>
      </c>
      <c r="G170" s="9" t="n">
        <v>11.8779320520297</v>
      </c>
      <c r="H170" s="9" t="n">
        <v>11.5483093275145</v>
      </c>
      <c r="I170" s="9" t="n">
        <v>7.9587831020637</v>
      </c>
      <c r="J170" s="9" t="n">
        <v>9.838848854684</v>
      </c>
      <c r="K170" s="9" t="n">
        <v>8.90826734200198</v>
      </c>
      <c r="L170" s="9" t="n">
        <v>12.8074218659784</v>
      </c>
      <c r="M170" s="9" t="n">
        <v>11.8679124342028</v>
      </c>
      <c r="N170" s="9" t="n">
        <v>11.3875892473563</v>
      </c>
      <c r="O170" s="9" t="n">
        <v>11.7181871964407</v>
      </c>
      <c r="P170" s="9" t="n">
        <v>9.84842819086074</v>
      </c>
      <c r="Q170" s="10" t="n">
        <f aca="false">AVERAGE(G170:P170)</f>
        <v>10.7761679613133</v>
      </c>
      <c r="R170" s="10" t="n">
        <f aca="false">STDEV(G170:P170)</f>
        <v>1.5475859124152</v>
      </c>
      <c r="S170" s="11" t="n">
        <f aca="false">IF(Q170=0,"",R170/Q170)</f>
        <v>0.143611895988544</v>
      </c>
      <c r="T170" s="10" t="n">
        <f aca="false">TINV(0.05,COUNT(G170:P170)-1)*R170/SQRT(COUNT(G170:P170))</f>
        <v>1.10707627002913</v>
      </c>
    </row>
    <row r="171" customFormat="false" ht="15" hidden="false" customHeight="false" outlineLevel="0" collapsed="false">
      <c r="A171" s="3" t="s">
        <v>87</v>
      </c>
      <c r="B171" s="3" t="s">
        <v>46</v>
      </c>
      <c r="C171" s="3" t="s">
        <v>59</v>
      </c>
      <c r="D171" s="3" t="s">
        <v>51</v>
      </c>
      <c r="E171" s="3" t="s">
        <v>52</v>
      </c>
      <c r="F171" s="3" t="s">
        <v>89</v>
      </c>
      <c r="G171" s="9" t="n">
        <v>6.08890643240474</v>
      </c>
      <c r="H171" s="9" t="n">
        <v>8.43751262127925</v>
      </c>
      <c r="I171" s="9" t="n">
        <v>5.93764275582594</v>
      </c>
      <c r="J171" s="9" t="n">
        <v>6.86831588894403</v>
      </c>
      <c r="K171" s="9" t="n">
        <v>5.93880214360763</v>
      </c>
      <c r="L171" s="9" t="n">
        <v>5.30830081290979</v>
      </c>
      <c r="M171" s="9" t="n">
        <v>8.58727439910572</v>
      </c>
      <c r="N171" s="9" t="n">
        <v>9.0581376468998</v>
      </c>
      <c r="O171" s="9" t="n">
        <v>6.55785689236757</v>
      </c>
      <c r="P171" s="9" t="n">
        <v>6.71751653413733</v>
      </c>
      <c r="Q171" s="10" t="n">
        <f aca="false">AVERAGE(G171:P171)</f>
        <v>6.95002661274818</v>
      </c>
      <c r="R171" s="10" t="n">
        <f aca="false">STDEV(G171:P171)</f>
        <v>1.2925491311547</v>
      </c>
      <c r="S171" s="11" t="n">
        <f aca="false">IF(Q171=0,"",R171/Q171)</f>
        <v>0.185977580112258</v>
      </c>
      <c r="T171" s="10" t="n">
        <f aca="false">TINV(0.05,COUNT(G171:P171)-1)*R171/SQRT(COUNT(G171:P171))</f>
        <v>0.924633947277895</v>
      </c>
    </row>
    <row r="172" customFormat="false" ht="15" hidden="false" customHeight="false" outlineLevel="0" collapsed="false">
      <c r="A172" s="3" t="s">
        <v>84</v>
      </c>
      <c r="B172" s="3" t="s">
        <v>46</v>
      </c>
      <c r="C172" s="3" t="s">
        <v>59</v>
      </c>
      <c r="D172" s="3" t="s">
        <v>58</v>
      </c>
      <c r="E172" s="3" t="s">
        <v>20</v>
      </c>
      <c r="F172" s="3" t="s">
        <v>89</v>
      </c>
      <c r="G172" s="9" t="n">
        <v>0.0128058676964585</v>
      </c>
      <c r="H172" s="9" t="n">
        <v>0.0254049884127321</v>
      </c>
      <c r="I172" s="9" t="n">
        <v>0.0322373754506313</v>
      </c>
      <c r="J172" s="9" t="n">
        <v>0.0134601534025473</v>
      </c>
      <c r="K172" s="9" t="n">
        <v>0.00942702608748886</v>
      </c>
      <c r="L172" s="9" t="n">
        <v>0.0139371834294985</v>
      </c>
      <c r="M172" s="9" t="n">
        <v>0.0191653982198557</v>
      </c>
      <c r="N172" s="9" t="n">
        <v>0.0228401498228883</v>
      </c>
      <c r="O172" s="9" t="n">
        <v>0.037195226962305</v>
      </c>
      <c r="P172" s="9" t="n">
        <v>0.00880391952183122</v>
      </c>
      <c r="Q172" s="10" t="n">
        <f aca="false">AVERAGE(G172:P172)</f>
        <v>0.0195277289006237</v>
      </c>
      <c r="R172" s="10" t="n">
        <f aca="false">STDEV(G172:P172)</f>
        <v>0.00971595807877357</v>
      </c>
      <c r="S172" s="11" t="n">
        <f aca="false">IF(Q172=0,"",R172/Q172)</f>
        <v>0.497546751504895</v>
      </c>
      <c r="T172" s="10" t="n">
        <f aca="false">TINV(0.05,COUNT(G172:P172)-1)*R172/SQRT(COUNT(G172:P172))</f>
        <v>0.00695037770977215</v>
      </c>
    </row>
    <row r="173" customFormat="false" ht="15" hidden="false" customHeight="false" outlineLevel="0" collapsed="false">
      <c r="A173" s="3" t="s">
        <v>87</v>
      </c>
      <c r="B173" s="3" t="s">
        <v>46</v>
      </c>
      <c r="C173" s="3" t="s">
        <v>59</v>
      </c>
      <c r="D173" s="3" t="s">
        <v>58</v>
      </c>
      <c r="E173" s="3" t="s">
        <v>20</v>
      </c>
      <c r="F173" s="3" t="s">
        <v>89</v>
      </c>
      <c r="G173" s="9" t="n">
        <v>0.185048594391547</v>
      </c>
      <c r="H173" s="9" t="n">
        <v>0.13291041253069</v>
      </c>
      <c r="I173" s="9" t="n">
        <v>0.130624491444669</v>
      </c>
      <c r="J173" s="9" t="n">
        <v>0.0862492443528872</v>
      </c>
      <c r="K173" s="9" t="n">
        <v>0.136703644376542</v>
      </c>
      <c r="L173" s="9" t="n">
        <v>0.18499346584449</v>
      </c>
      <c r="M173" s="9" t="n">
        <v>0.143621959635018</v>
      </c>
      <c r="N173" s="9" t="n">
        <v>0.0792547513476091</v>
      </c>
      <c r="O173" s="9" t="n">
        <v>0.0915767629282366</v>
      </c>
      <c r="P173" s="9" t="n">
        <v>0.0916825034219243</v>
      </c>
      <c r="Q173" s="10" t="n">
        <f aca="false">AVERAGE(G173:P173)</f>
        <v>0.126266583027361</v>
      </c>
      <c r="R173" s="10" t="n">
        <f aca="false">STDEV(G173:P173)</f>
        <v>0.038856411885609</v>
      </c>
      <c r="S173" s="11" t="n">
        <f aca="false">IF(Q173=0,"",R173/Q173)</f>
        <v>0.307733138523191</v>
      </c>
      <c r="T173" s="10" t="n">
        <f aca="false">TINV(0.05,COUNT(G173:P173)-1)*R173/SQRT(COUNT(G173:P173))</f>
        <v>0.027796202583611</v>
      </c>
    </row>
    <row r="174" customFormat="false" ht="15" hidden="false" customHeight="false" outlineLevel="0" collapsed="false">
      <c r="A174" s="3" t="s">
        <v>84</v>
      </c>
      <c r="B174" s="3" t="s">
        <v>46</v>
      </c>
      <c r="C174" s="3" t="s">
        <v>60</v>
      </c>
      <c r="D174" s="3" t="s">
        <v>24</v>
      </c>
      <c r="E174" s="3" t="s">
        <v>48</v>
      </c>
      <c r="F174" s="3" t="s">
        <v>85</v>
      </c>
      <c r="G174" s="9" t="n">
        <v>963.327537439783</v>
      </c>
      <c r="H174" s="9" t="n">
        <v>990.607977027951</v>
      </c>
      <c r="I174" s="9" t="n">
        <v>986.868252466158</v>
      </c>
      <c r="J174" s="9" t="n">
        <v>983.805273330674</v>
      </c>
      <c r="K174" s="9" t="n">
        <v>988.436060044281</v>
      </c>
      <c r="L174" s="9" t="n">
        <v>991.353232408208</v>
      </c>
      <c r="M174" s="9" t="n">
        <v>987.913595616833</v>
      </c>
      <c r="N174" s="9" t="n">
        <v>947.099070504104</v>
      </c>
      <c r="O174" s="9" t="n">
        <v>947.337922867629</v>
      </c>
      <c r="P174" s="9" t="n">
        <v>984.020264135629</v>
      </c>
      <c r="Q174" s="10" t="n">
        <f aca="false">AVERAGE(G174:P174)</f>
        <v>977.076918584125</v>
      </c>
      <c r="R174" s="10" t="n">
        <f aca="false">STDEV(G174:P174)</f>
        <v>17.6220886977945</v>
      </c>
      <c r="S174" s="11" t="n">
        <f aca="false">IF(Q174=0,"",R174/Q174)</f>
        <v>0.0180355183533867</v>
      </c>
      <c r="T174" s="10" t="n">
        <f aca="false">TINV(0.05,COUNT(G174:P174)-1)*R174/SQRT(COUNT(G174:P174))</f>
        <v>12.6060828475949</v>
      </c>
    </row>
    <row r="175" customFormat="false" ht="15" hidden="false" customHeight="false" outlineLevel="0" collapsed="false">
      <c r="A175" s="3" t="s">
        <v>87</v>
      </c>
      <c r="B175" s="3" t="s">
        <v>46</v>
      </c>
      <c r="C175" s="3" t="s">
        <v>60</v>
      </c>
      <c r="D175" s="3" t="s">
        <v>24</v>
      </c>
      <c r="E175" s="3" t="s">
        <v>48</v>
      </c>
      <c r="F175" s="3" t="s">
        <v>85</v>
      </c>
      <c r="G175" s="9" t="n">
        <v>312.015625370174</v>
      </c>
      <c r="H175" s="9" t="n">
        <v>297.398318837132</v>
      </c>
      <c r="I175" s="9" t="n">
        <v>289.221922288753</v>
      </c>
      <c r="J175" s="9" t="n">
        <v>301.250121945965</v>
      </c>
      <c r="K175" s="9" t="n">
        <v>309.880292393428</v>
      </c>
      <c r="L175" s="9" t="n">
        <v>290.39575352083</v>
      </c>
      <c r="M175" s="9" t="n">
        <v>305.942115503078</v>
      </c>
      <c r="N175" s="9" t="n">
        <v>309.469442952728</v>
      </c>
      <c r="O175" s="9" t="n">
        <v>286.92417621566</v>
      </c>
      <c r="P175" s="9" t="n">
        <v>291.692542193488</v>
      </c>
      <c r="Q175" s="10" t="n">
        <f aca="false">AVERAGE(G175:P175)</f>
        <v>299.419031122124</v>
      </c>
      <c r="R175" s="10" t="n">
        <f aca="false">STDEV(G175:P175)</f>
        <v>9.54713657545616</v>
      </c>
      <c r="S175" s="11" t="n">
        <f aca="false">IF(Q175=0,"",R175/Q175)</f>
        <v>0.0318855369335631</v>
      </c>
      <c r="T175" s="10" t="n">
        <f aca="false">TINV(0.05,COUNT(G175:P175)-1)*R175/SQRT(COUNT(G175:P175))</f>
        <v>6.82961008149768</v>
      </c>
    </row>
    <row r="176" customFormat="false" ht="15" hidden="false" customHeight="false" outlineLevel="0" collapsed="false">
      <c r="A176" s="3" t="s">
        <v>84</v>
      </c>
      <c r="B176" s="3" t="s">
        <v>46</v>
      </c>
      <c r="C176" s="3" t="s">
        <v>60</v>
      </c>
      <c r="D176" s="3" t="s">
        <v>51</v>
      </c>
      <c r="E176" s="3" t="s">
        <v>52</v>
      </c>
      <c r="F176" s="3" t="s">
        <v>89</v>
      </c>
      <c r="G176" s="9" t="n">
        <v>27.1849028307192</v>
      </c>
      <c r="H176" s="9" t="n">
        <v>33.5939295769255</v>
      </c>
      <c r="I176" s="9" t="n">
        <v>30.304024046458</v>
      </c>
      <c r="J176" s="9" t="n">
        <v>30.6270506150258</v>
      </c>
      <c r="K176" s="9" t="n">
        <v>30.3060602121724</v>
      </c>
      <c r="L176" s="9" t="n">
        <v>33.1340060583041</v>
      </c>
      <c r="M176" s="9" t="n">
        <v>32.8135422948764</v>
      </c>
      <c r="N176" s="9" t="n">
        <v>28.1266219926987</v>
      </c>
      <c r="O176" s="9" t="n">
        <v>29.3646615045385</v>
      </c>
      <c r="P176" s="9" t="n">
        <v>29.9940341866003</v>
      </c>
      <c r="Q176" s="10" t="n">
        <f aca="false">AVERAGE(G176:P176)</f>
        <v>30.5448833318319</v>
      </c>
      <c r="R176" s="10" t="n">
        <f aca="false">STDEV(G176:P176)</f>
        <v>2.11088894762751</v>
      </c>
      <c r="S176" s="11" t="n">
        <f aca="false">IF(Q176=0,"",R176/Q176)</f>
        <v>0.0691077757506993</v>
      </c>
      <c r="T176" s="10" t="n">
        <f aca="false">TINV(0.05,COUNT(G176:P176)-1)*R176/SQRT(COUNT(G176:P176))</f>
        <v>1.51003898642249</v>
      </c>
    </row>
    <row r="177" customFormat="false" ht="15" hidden="false" customHeight="false" outlineLevel="0" collapsed="false">
      <c r="A177" s="3" t="s">
        <v>87</v>
      </c>
      <c r="B177" s="3" t="s">
        <v>46</v>
      </c>
      <c r="C177" s="3" t="s">
        <v>60</v>
      </c>
      <c r="D177" s="3" t="s">
        <v>51</v>
      </c>
      <c r="E177" s="3" t="s">
        <v>52</v>
      </c>
      <c r="F177" s="3" t="s">
        <v>89</v>
      </c>
      <c r="G177" s="9" t="n">
        <v>24.8406251480691</v>
      </c>
      <c r="H177" s="9" t="n">
        <v>17.0244789614728</v>
      </c>
      <c r="I177" s="9" t="n">
        <v>17.4934556982233</v>
      </c>
      <c r="J177" s="9" t="n">
        <v>21.2448502482998</v>
      </c>
      <c r="K177" s="9" t="n">
        <v>22.4920220797683</v>
      </c>
      <c r="L177" s="9" t="n">
        <v>19.9931323590347</v>
      </c>
      <c r="M177" s="9" t="n">
        <v>19.2138362013466</v>
      </c>
      <c r="N177" s="9" t="n">
        <v>18.2837305088085</v>
      </c>
      <c r="O177" s="9" t="n">
        <v>16.0931829277118</v>
      </c>
      <c r="P177" s="9" t="n">
        <v>19.6829102157403</v>
      </c>
      <c r="Q177" s="10" t="n">
        <f aca="false">AVERAGE(G177:P177)</f>
        <v>19.6362224348475</v>
      </c>
      <c r="R177" s="10" t="n">
        <f aca="false">STDEV(G177:P177)</f>
        <v>2.66525116277524</v>
      </c>
      <c r="S177" s="11" t="n">
        <f aca="false">IF(Q177=0,"",R177/Q177)</f>
        <v>0.135731359308975</v>
      </c>
      <c r="T177" s="10" t="n">
        <f aca="false">TINV(0.05,COUNT(G177:P177)-1)*R177/SQRT(COUNT(G177:P177))</f>
        <v>1.90660582543762</v>
      </c>
    </row>
    <row r="178" customFormat="false" ht="15" hidden="false" customHeight="false" outlineLevel="0" collapsed="false">
      <c r="A178" s="3" t="s">
        <v>84</v>
      </c>
      <c r="B178" s="3" t="s">
        <v>46</v>
      </c>
      <c r="C178" s="3" t="s">
        <v>60</v>
      </c>
      <c r="D178" s="3" t="s">
        <v>61</v>
      </c>
      <c r="E178" s="3" t="s">
        <v>52</v>
      </c>
      <c r="F178" s="3" t="s">
        <v>89</v>
      </c>
      <c r="G178" s="9" t="n">
        <v>3.65948722700659</v>
      </c>
      <c r="H178" s="9" t="n">
        <v>0.932645007650423</v>
      </c>
      <c r="I178" s="9" t="n">
        <v>1.30480106561649</v>
      </c>
      <c r="J178" s="9" t="n">
        <v>1.61235019240705</v>
      </c>
      <c r="K178" s="9" t="n">
        <v>1.14919228728765</v>
      </c>
      <c r="L178" s="9" t="n">
        <v>0.857476773533701</v>
      </c>
      <c r="M178" s="9" t="n">
        <v>1.20055180210181</v>
      </c>
      <c r="N178" s="9" t="n">
        <v>5.281716245019</v>
      </c>
      <c r="O178" s="9" t="n">
        <v>5.25918924741645</v>
      </c>
      <c r="P178" s="9" t="n">
        <v>1.58984795327056</v>
      </c>
      <c r="Q178" s="10" t="n">
        <f aca="false">AVERAGE(G178:P178)</f>
        <v>2.28472578013097</v>
      </c>
      <c r="R178" s="10" t="n">
        <f aca="false">STDEV(G178:P178)</f>
        <v>1.76208784123821</v>
      </c>
      <c r="S178" s="11" t="n">
        <f aca="false">IF(Q178=0,"",R178/Q178)</f>
        <v>0.771246972639842</v>
      </c>
      <c r="T178" s="10" t="n">
        <f aca="false">TINV(0.05,COUNT(G178:P178)-1)*R178/SQRT(COUNT(G178:P178))</f>
        <v>1.2605217061567</v>
      </c>
    </row>
    <row r="179" customFormat="false" ht="15" hidden="false" customHeight="false" outlineLevel="0" collapsed="false">
      <c r="A179" s="3" t="s">
        <v>87</v>
      </c>
      <c r="B179" s="3" t="s">
        <v>46</v>
      </c>
      <c r="C179" s="3" t="s">
        <v>60</v>
      </c>
      <c r="D179" s="3" t="s">
        <v>61</v>
      </c>
      <c r="E179" s="3" t="s">
        <v>52</v>
      </c>
      <c r="F179" s="3" t="s">
        <v>89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10" t="n">
        <f aca="false">AVERAGE(G179:P179)</f>
        <v>0</v>
      </c>
      <c r="R179" s="10" t="n">
        <f aca="false">STDEV(G179:P179)</f>
        <v>0</v>
      </c>
      <c r="S179" s="11" t="str">
        <f aca="false">IF(Q179=0,"",R179/Q179)</f>
        <v/>
      </c>
      <c r="T179" s="10" t="n">
        <f aca="false">TINV(0.05,COUNT(G179:P179)-1)*R179/SQRT(COUNT(G179:P179))</f>
        <v>0</v>
      </c>
    </row>
    <row r="180" customFormat="false" ht="15" hidden="false" customHeight="false" outlineLevel="0" collapsed="false">
      <c r="A180" s="3" t="s">
        <v>84</v>
      </c>
      <c r="B180" s="3" t="s">
        <v>46</v>
      </c>
      <c r="C180" s="3" t="s">
        <v>60</v>
      </c>
      <c r="D180" s="3" t="s">
        <v>58</v>
      </c>
      <c r="E180" s="3" t="s">
        <v>20</v>
      </c>
      <c r="F180" s="3" t="s">
        <v>89</v>
      </c>
      <c r="G180" s="9" t="n">
        <v>0.00521875605444143</v>
      </c>
      <c r="H180" s="9" t="n">
        <v>0.00640332856132579</v>
      </c>
      <c r="I180" s="9" t="n">
        <v>0.0100429648450182</v>
      </c>
      <c r="J180" s="9" t="n">
        <v>0.00329176873091164</v>
      </c>
      <c r="K180" s="9" t="n">
        <v>0.00395759424992854</v>
      </c>
      <c r="L180" s="9" t="n">
        <v>0.00408602191107609</v>
      </c>
      <c r="M180" s="9" t="n">
        <v>0.00686102052556373</v>
      </c>
      <c r="N180" s="9" t="n">
        <v>0.00738537830331345</v>
      </c>
      <c r="O180" s="9" t="n">
        <v>0.00487344420248061</v>
      </c>
      <c r="P180" s="9" t="n">
        <v>0.00869920337009126</v>
      </c>
      <c r="Q180" s="10" t="n">
        <f aca="false">AVERAGE(G180:P180)</f>
        <v>0.00608194807541507</v>
      </c>
      <c r="R180" s="10" t="n">
        <f aca="false">STDEV(G180:P180)</f>
        <v>0.00219686979497617</v>
      </c>
      <c r="S180" s="11" t="n">
        <f aca="false">IF(Q180=0,"",R180/Q180)</f>
        <v>0.36121153415573</v>
      </c>
      <c r="T180" s="10" t="n">
        <f aca="false">TINV(0.05,COUNT(G180:P180)-1)*R180/SQRT(COUNT(G180:P180))</f>
        <v>0.00157154597935456</v>
      </c>
    </row>
    <row r="181" customFormat="false" ht="15" hidden="false" customHeight="false" outlineLevel="0" collapsed="false">
      <c r="A181" s="3" t="s">
        <v>87</v>
      </c>
      <c r="B181" s="3" t="s">
        <v>46</v>
      </c>
      <c r="C181" s="3" t="s">
        <v>60</v>
      </c>
      <c r="D181" s="3" t="s">
        <v>58</v>
      </c>
      <c r="E181" s="3" t="s">
        <v>20</v>
      </c>
      <c r="F181" s="3" t="s">
        <v>89</v>
      </c>
      <c r="G181" s="9" t="n">
        <v>0.0166940758505092</v>
      </c>
      <c r="H181" s="9" t="n">
        <v>0.00414519021870119</v>
      </c>
      <c r="I181" s="9" t="n">
        <v>0.00697033863850715</v>
      </c>
      <c r="J181" s="9" t="n">
        <v>0.00714859864531276</v>
      </c>
      <c r="K181" s="9" t="n">
        <v>0.00504786842051688</v>
      </c>
      <c r="L181" s="9" t="n">
        <v>0.00589268448289761</v>
      </c>
      <c r="M181" s="9" t="n">
        <v>0.00411669815701671</v>
      </c>
      <c r="N181" s="9" t="n">
        <v>0.00515976401199502</v>
      </c>
      <c r="O181" s="9" t="n">
        <v>0.00702236682320496</v>
      </c>
      <c r="P181" s="9" t="n">
        <v>0.00546776480981418</v>
      </c>
      <c r="Q181" s="10" t="n">
        <f aca="false">AVERAGE(G181:P181)</f>
        <v>0.00676653500584757</v>
      </c>
      <c r="R181" s="10" t="n">
        <f aca="false">STDEV(G181:P181)</f>
        <v>0.00366193719409988</v>
      </c>
      <c r="S181" s="11" t="n">
        <f aca="false">IF(Q181=0,"",R181/Q181)</f>
        <v>0.541183514300195</v>
      </c>
      <c r="T181" s="10" t="n">
        <f aca="false">TINV(0.05,COUNT(G181:P181)-1)*R181/SQRT(COUNT(G181:P181))</f>
        <v>0.00261959206103019</v>
      </c>
    </row>
    <row r="183" customFormat="false" ht="15" hidden="false" customHeight="false" outlineLevel="0" collapsed="false">
      <c r="A183" s="8" t="s">
        <v>99</v>
      </c>
    </row>
  </sheetData>
  <autoFilter ref="A1:T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2"/>
  </cols>
  <sheetData>
    <row r="1" customFormat="false" ht="17.3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2" t="s">
        <v>101</v>
      </c>
      <c r="B3" s="2" t="s">
        <v>102</v>
      </c>
      <c r="C3" s="2" t="s">
        <v>103</v>
      </c>
    </row>
    <row r="4" customFormat="false" ht="26.85" hidden="false" customHeight="false" outlineLevel="0" collapsed="false">
      <c r="A4" s="12" t="s">
        <v>104</v>
      </c>
      <c r="B4" s="13" t="s">
        <v>105</v>
      </c>
      <c r="C4" s="13"/>
    </row>
    <row r="5" customFormat="false" ht="26.85" hidden="false" customHeight="false" outlineLevel="0" collapsed="false">
      <c r="A5" s="12" t="s">
        <v>106</v>
      </c>
      <c r="B5" s="13" t="s">
        <v>107</v>
      </c>
      <c r="C5" s="13"/>
    </row>
    <row r="6" customFormat="false" ht="26.85" hidden="false" customHeight="false" outlineLevel="0" collapsed="false">
      <c r="A6" s="12" t="s">
        <v>108</v>
      </c>
      <c r="B6" s="13" t="s">
        <v>109</v>
      </c>
      <c r="C6" s="13" t="s">
        <v>110</v>
      </c>
    </row>
    <row r="7" customFormat="false" ht="15" hidden="false" customHeight="false" outlineLevel="0" collapsed="false">
      <c r="A7" s="12" t="s">
        <v>111</v>
      </c>
      <c r="B7" s="13" t="s">
        <v>112</v>
      </c>
      <c r="C7" s="13" t="s">
        <v>113</v>
      </c>
    </row>
    <row r="8" customFormat="false" ht="15" hidden="false" customHeight="false" outlineLevel="0" collapsed="false">
      <c r="A8" s="12" t="s">
        <v>114</v>
      </c>
      <c r="B8" s="13" t="s">
        <v>115</v>
      </c>
      <c r="C8" s="13" t="s">
        <v>115</v>
      </c>
    </row>
    <row r="9" customFormat="false" ht="26.85" hidden="false" customHeight="false" outlineLevel="0" collapsed="false">
      <c r="A9" s="12" t="s">
        <v>116</v>
      </c>
      <c r="B9" s="13" t="s">
        <v>117</v>
      </c>
      <c r="C9" s="13" t="s">
        <v>118</v>
      </c>
    </row>
    <row r="10" customFormat="false" ht="15" hidden="false" customHeight="false" outlineLevel="0" collapsed="false">
      <c r="A10" s="12" t="s">
        <v>22</v>
      </c>
      <c r="B10" s="13" t="s">
        <v>119</v>
      </c>
      <c r="C10" s="13" t="s">
        <v>120</v>
      </c>
    </row>
    <row r="11" customFormat="false" ht="15" hidden="false" customHeight="false" outlineLevel="0" collapsed="false">
      <c r="A11" s="12" t="s">
        <v>29</v>
      </c>
      <c r="B11" s="13" t="s">
        <v>121</v>
      </c>
      <c r="C11" s="13" t="s">
        <v>122</v>
      </c>
    </row>
    <row r="12" customFormat="false" ht="26.85" hidden="false" customHeight="false" outlineLevel="0" collapsed="false">
      <c r="A12" s="12" t="s">
        <v>123</v>
      </c>
      <c r="B12" s="13" t="s">
        <v>124</v>
      </c>
      <c r="C12" s="13" t="s">
        <v>125</v>
      </c>
    </row>
    <row r="13" customFormat="false" ht="15" hidden="false" customHeight="false" outlineLevel="0" collapsed="false">
      <c r="A13" s="12" t="s">
        <v>46</v>
      </c>
      <c r="B13" s="13" t="s">
        <v>126</v>
      </c>
      <c r="C13" s="13" t="s">
        <v>127</v>
      </c>
    </row>
    <row r="14" customFormat="false" ht="15" hidden="false" customHeight="false" outlineLevel="0" collapsed="false">
      <c r="A14" s="12" t="s">
        <v>128</v>
      </c>
      <c r="B14" s="13" t="s">
        <v>129</v>
      </c>
      <c r="C14" s="13" t="s">
        <v>129</v>
      </c>
    </row>
    <row r="15" customFormat="false" ht="26.85" hidden="false" customHeight="false" outlineLevel="0" collapsed="false">
      <c r="A15" s="12" t="s">
        <v>130</v>
      </c>
      <c r="B15" s="13" t="s">
        <v>131</v>
      </c>
      <c r="C15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14" t="s">
        <v>134</v>
      </c>
    </row>
    <row r="3" customFormat="false" ht="15" hidden="false" customHeight="false" outlineLevel="0" collapsed="false">
      <c r="A3" s="14"/>
    </row>
    <row r="4" customFormat="false" ht="15" hidden="false" customHeight="false" outlineLevel="0" collapsed="false">
      <c r="A4" s="15" t="s">
        <v>135</v>
      </c>
    </row>
    <row r="5" customFormat="false" ht="15" hidden="false" customHeight="false" outlineLevel="0" collapsed="false">
      <c r="A5" s="14" t="s">
        <v>136</v>
      </c>
    </row>
    <row r="6" customFormat="false" ht="15" hidden="false" customHeight="false" outlineLevel="0" collapsed="false">
      <c r="A6" s="14" t="s">
        <v>137</v>
      </c>
    </row>
    <row r="7" customFormat="false" ht="15" hidden="false" customHeight="false" outlineLevel="0" collapsed="false">
      <c r="A7" s="14" t="s">
        <v>138</v>
      </c>
    </row>
    <row r="8" customFormat="false" ht="15" hidden="false" customHeight="false" outlineLevel="0" collapsed="false">
      <c r="A8" s="14" t="s">
        <v>139</v>
      </c>
    </row>
    <row r="9" customFormat="false" ht="15" hidden="false" customHeight="false" outlineLevel="0" collapsed="false">
      <c r="A9" s="14"/>
    </row>
    <row r="10" customFormat="false" ht="15" hidden="false" customHeight="false" outlineLevel="0" collapsed="false">
      <c r="A10" s="15" t="s">
        <v>140</v>
      </c>
    </row>
    <row r="11" customFormat="false" ht="15" hidden="false" customHeight="false" outlineLevel="0" collapsed="false">
      <c r="A11" s="14" t="s">
        <v>141</v>
      </c>
    </row>
    <row r="12" customFormat="false" ht="15" hidden="false" customHeight="false" outlineLevel="0" collapsed="false">
      <c r="A12" s="14" t="s">
        <v>142</v>
      </c>
    </row>
    <row r="13" customFormat="false" ht="15" hidden="false" customHeight="false" outlineLevel="0" collapsed="false">
      <c r="A13" s="14" t="s">
        <v>143</v>
      </c>
    </row>
    <row r="14" customFormat="false" ht="15" hidden="false" customHeight="false" outlineLevel="0" collapsed="false">
      <c r="A14" s="14" t="s">
        <v>144</v>
      </c>
    </row>
    <row r="15" customFormat="false" ht="15" hidden="false" customHeight="false" outlineLevel="0" collapsed="false">
      <c r="A15" s="14"/>
    </row>
    <row r="16" customFormat="false" ht="15" hidden="false" customHeight="false" outlineLevel="0" collapsed="false">
      <c r="A16" s="15" t="s">
        <v>145</v>
      </c>
    </row>
    <row r="17" customFormat="false" ht="15" hidden="false" customHeight="false" outlineLevel="0" collapsed="false">
      <c r="A17" s="14" t="s">
        <v>146</v>
      </c>
    </row>
    <row r="18" customFormat="false" ht="15" hidden="false" customHeight="false" outlineLevel="0" collapsed="false">
      <c r="A18" s="1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2026-10-23T14:44:25Z</dcterms:created>
  <dc:creator>openpyxl</dc:creator>
  <dc:description/>
  <dc:language>en-US</dc:language>
  <cp:lastModifiedBy/>
  <dcterms:modified xsi:type="dcterms:W3CDTF">2026-10-23T14:44:25Z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